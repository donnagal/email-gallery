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Users/donnagalletta/Downloads/"/>
    </mc:Choice>
  </mc:AlternateContent>
  <xr:revisionPtr revIDLastSave="0" documentId="8_{65E0296A-4DEA-4148-A50A-10E480F5EDFB}" xr6:coauthVersionLast="47" xr6:coauthVersionMax="47" xr10:uidLastSave="{00000000-0000-0000-0000-000000000000}"/>
  <bookViews>
    <workbookView xWindow="320" yWindow="740" windowWidth="29920" windowHeight="17700" xr2:uid="{2AF7D318-117B-4C45-A242-FA29CA5E08DD}"/>
  </bookViews>
  <sheets>
    <sheet name="FY-ajo-report"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6" i="1" l="1"/>
  <c r="L266" i="1"/>
  <c r="M266" i="1"/>
  <c r="N266" i="1"/>
  <c r="O266" i="1"/>
  <c r="P266" i="1"/>
  <c r="O264" i="1"/>
  <c r="P264" i="1" s="1"/>
  <c r="O265" i="1"/>
  <c r="P265" i="1" s="1"/>
  <c r="N264" i="1"/>
  <c r="N265" i="1"/>
  <c r="M264" i="1"/>
  <c r="M265" i="1"/>
  <c r="L264" i="1"/>
  <c r="L265" i="1"/>
  <c r="K264" i="1"/>
  <c r="K265" i="1"/>
  <c r="K263" i="1"/>
  <c r="L263" i="1"/>
  <c r="M263" i="1"/>
  <c r="N263" i="1"/>
  <c r="O263" i="1"/>
  <c r="P263" i="1"/>
  <c r="K262" i="1"/>
  <c r="L262" i="1"/>
  <c r="M262" i="1"/>
  <c r="N262" i="1"/>
  <c r="O262" i="1"/>
  <c r="P262" i="1"/>
  <c r="K261" i="1"/>
  <c r="L261" i="1"/>
  <c r="M261" i="1"/>
  <c r="N261" i="1"/>
  <c r="O261" i="1"/>
  <c r="P261" i="1"/>
  <c r="K260" i="1"/>
  <c r="L260" i="1"/>
  <c r="M260" i="1"/>
  <c r="N260" i="1"/>
  <c r="O260" i="1"/>
  <c r="P260" i="1"/>
  <c r="K259" i="1"/>
  <c r="L259" i="1"/>
  <c r="M259" i="1"/>
  <c r="N259" i="1"/>
  <c r="O259" i="1"/>
  <c r="P259" i="1"/>
  <c r="K258" i="1"/>
  <c r="L258" i="1"/>
  <c r="M258" i="1"/>
  <c r="N258" i="1"/>
  <c r="O258" i="1"/>
  <c r="P258" i="1"/>
  <c r="K257" i="1"/>
  <c r="L257" i="1"/>
  <c r="M257" i="1"/>
  <c r="N257" i="1"/>
  <c r="O257" i="1"/>
  <c r="P257" i="1"/>
  <c r="K254" i="1"/>
  <c r="K255" i="1"/>
  <c r="K256" i="1"/>
  <c r="L254" i="1"/>
  <c r="L255" i="1"/>
  <c r="L256" i="1"/>
  <c r="M254" i="1"/>
  <c r="M255" i="1"/>
  <c r="M256" i="1"/>
  <c r="N254" i="1"/>
  <c r="N255" i="1"/>
  <c r="N256" i="1"/>
  <c r="O254" i="1"/>
  <c r="O255" i="1"/>
  <c r="O256" i="1"/>
  <c r="P254" i="1"/>
  <c r="P255" i="1"/>
  <c r="P256" i="1"/>
  <c r="K253" i="1"/>
  <c r="L253" i="1"/>
  <c r="M253" i="1"/>
  <c r="N253" i="1"/>
  <c r="O253" i="1"/>
  <c r="P253" i="1"/>
  <c r="K251" i="1"/>
  <c r="K252" i="1"/>
  <c r="L251" i="1"/>
  <c r="L252" i="1"/>
  <c r="M251" i="1"/>
  <c r="M252" i="1"/>
  <c r="N251" i="1"/>
  <c r="N252" i="1"/>
  <c r="O251" i="1"/>
  <c r="O252" i="1"/>
  <c r="P251" i="1"/>
  <c r="P252" i="1"/>
  <c r="K250" i="1"/>
  <c r="L250" i="1"/>
  <c r="M250" i="1"/>
  <c r="N250" i="1"/>
  <c r="O250" i="1"/>
  <c r="P250" i="1"/>
  <c r="K249" i="1"/>
  <c r="L249" i="1"/>
  <c r="M249" i="1"/>
  <c r="N249" i="1"/>
  <c r="O249" i="1"/>
  <c r="P249" i="1"/>
  <c r="K248" i="1"/>
  <c r="L248" i="1"/>
  <c r="M248" i="1"/>
  <c r="N248" i="1"/>
  <c r="O248" i="1"/>
  <c r="P248" i="1"/>
  <c r="O190" i="1"/>
  <c r="P190" i="1" s="1"/>
  <c r="N190" i="1"/>
  <c r="M190" i="1"/>
  <c r="L190" i="1"/>
  <c r="K190" i="1"/>
  <c r="O189" i="1"/>
  <c r="P189" i="1" s="1"/>
  <c r="N189" i="1"/>
  <c r="M189" i="1"/>
  <c r="L189" i="1"/>
  <c r="K189" i="1"/>
  <c r="O247" i="1"/>
  <c r="P247" i="1" s="1"/>
  <c r="N247" i="1"/>
  <c r="M247" i="1"/>
  <c r="L247" i="1"/>
  <c r="K247" i="1"/>
  <c r="O246" i="1"/>
  <c r="P246" i="1" s="1"/>
  <c r="N246" i="1"/>
  <c r="M246" i="1"/>
  <c r="L246" i="1"/>
  <c r="K246" i="1"/>
  <c r="K245" i="1"/>
  <c r="L245" i="1"/>
  <c r="M245" i="1"/>
  <c r="N245" i="1"/>
  <c r="O245" i="1"/>
  <c r="P245" i="1"/>
  <c r="K244" i="1"/>
  <c r="L244" i="1"/>
  <c r="M244" i="1"/>
  <c r="N244" i="1"/>
  <c r="O244" i="1"/>
  <c r="P244" i="1"/>
  <c r="O243" i="1"/>
  <c r="P243" i="1" s="1"/>
  <c r="N243" i="1"/>
  <c r="M243" i="1"/>
  <c r="L243" i="1"/>
  <c r="K243" i="1"/>
  <c r="O242" i="1"/>
  <c r="P242" i="1" s="1"/>
  <c r="N242" i="1"/>
  <c r="M242" i="1"/>
  <c r="L242" i="1"/>
  <c r="K242" i="1"/>
  <c r="O241" i="1"/>
  <c r="P241" i="1" s="1"/>
  <c r="N241" i="1"/>
  <c r="M241" i="1"/>
  <c r="L241" i="1"/>
  <c r="K241" i="1"/>
  <c r="O240" i="1"/>
  <c r="P240" i="1" s="1"/>
  <c r="N240" i="1"/>
  <c r="M240" i="1"/>
  <c r="L240" i="1"/>
  <c r="K240" i="1"/>
  <c r="O239" i="1"/>
  <c r="P239" i="1" s="1"/>
  <c r="N239" i="1"/>
  <c r="M239" i="1"/>
  <c r="L239" i="1"/>
  <c r="K239" i="1"/>
  <c r="O238" i="1"/>
  <c r="P238" i="1" s="1"/>
  <c r="N238" i="1"/>
  <c r="M238" i="1"/>
  <c r="L238" i="1"/>
  <c r="K238" i="1"/>
  <c r="O237" i="1"/>
  <c r="P237" i="1" s="1"/>
  <c r="N237" i="1"/>
  <c r="M237" i="1"/>
  <c r="L237" i="1"/>
  <c r="K237" i="1"/>
  <c r="O236" i="1"/>
  <c r="P236" i="1" s="1"/>
  <c r="N236" i="1"/>
  <c r="M236" i="1"/>
  <c r="L236" i="1"/>
  <c r="K236" i="1"/>
  <c r="O235" i="1"/>
  <c r="P235" i="1" s="1"/>
  <c r="N235" i="1"/>
  <c r="M235" i="1"/>
  <c r="L235" i="1"/>
  <c r="K235" i="1"/>
  <c r="O234" i="1"/>
  <c r="P234" i="1" s="1"/>
  <c r="N234" i="1"/>
  <c r="M234" i="1"/>
  <c r="L234" i="1"/>
  <c r="K234" i="1"/>
  <c r="O233" i="1"/>
  <c r="P233" i="1" s="1"/>
  <c r="N233" i="1"/>
  <c r="M233" i="1"/>
  <c r="L233" i="1"/>
  <c r="K233" i="1"/>
  <c r="O232" i="1"/>
  <c r="P232" i="1" s="1"/>
  <c r="N232" i="1"/>
  <c r="M232" i="1"/>
  <c r="L232" i="1"/>
  <c r="K232" i="1"/>
  <c r="O231" i="1"/>
  <c r="P231" i="1" s="1"/>
  <c r="N231" i="1"/>
  <c r="M231" i="1"/>
  <c r="L231" i="1"/>
  <c r="K231" i="1"/>
  <c r="O230" i="1"/>
  <c r="P230" i="1" s="1"/>
  <c r="N230" i="1"/>
  <c r="M230" i="1"/>
  <c r="L230" i="1"/>
  <c r="K230" i="1"/>
  <c r="O229" i="1"/>
  <c r="P229" i="1" s="1"/>
  <c r="N229" i="1"/>
  <c r="M229" i="1"/>
  <c r="L229" i="1"/>
  <c r="K229" i="1"/>
  <c r="O228" i="1"/>
  <c r="P228" i="1" s="1"/>
  <c r="N228" i="1"/>
  <c r="M228" i="1"/>
  <c r="L228" i="1"/>
  <c r="K228" i="1"/>
  <c r="N227" i="1"/>
  <c r="N226" i="1"/>
  <c r="O225" i="1"/>
  <c r="P225" i="1" s="1"/>
  <c r="N225" i="1"/>
  <c r="M225" i="1"/>
  <c r="L225" i="1"/>
  <c r="K225" i="1"/>
  <c r="O224" i="1"/>
  <c r="P224" i="1" s="1"/>
  <c r="O223" i="1"/>
  <c r="P223" i="1" s="1"/>
  <c r="N224" i="1"/>
  <c r="N223" i="1"/>
  <c r="M224" i="1"/>
  <c r="M223" i="1"/>
  <c r="L224" i="1"/>
  <c r="L223" i="1"/>
  <c r="K224" i="1"/>
  <c r="K223" i="1"/>
  <c r="O211" i="1"/>
  <c r="P211" i="1" s="1"/>
  <c r="O212" i="1"/>
  <c r="P212" i="1" s="1"/>
  <c r="O213" i="1"/>
  <c r="P213" i="1" s="1"/>
  <c r="O214" i="1"/>
  <c r="P214" i="1" s="1"/>
  <c r="O215" i="1"/>
  <c r="P215" i="1" s="1"/>
  <c r="O216" i="1"/>
  <c r="P216" i="1" s="1"/>
  <c r="O217" i="1"/>
  <c r="P217" i="1" s="1"/>
  <c r="N211" i="1"/>
  <c r="N212" i="1"/>
  <c r="N213" i="1"/>
  <c r="N214" i="1"/>
  <c r="N215" i="1"/>
  <c r="N216" i="1"/>
  <c r="N217" i="1"/>
  <c r="N218" i="1"/>
  <c r="M211" i="1"/>
  <c r="M212" i="1"/>
  <c r="M213" i="1"/>
  <c r="M214" i="1"/>
  <c r="M215" i="1"/>
  <c r="M216" i="1"/>
  <c r="M217" i="1"/>
  <c r="L211" i="1"/>
  <c r="L212" i="1"/>
  <c r="L213" i="1"/>
  <c r="L214" i="1"/>
  <c r="L215" i="1"/>
  <c r="L216" i="1"/>
  <c r="L217" i="1"/>
  <c r="K211" i="1"/>
  <c r="K212" i="1"/>
  <c r="K213" i="1"/>
  <c r="K214" i="1"/>
  <c r="K215" i="1"/>
  <c r="K216" i="1"/>
  <c r="K217" i="1"/>
  <c r="K218" i="1"/>
  <c r="K219" i="1"/>
  <c r="K220" i="1"/>
  <c r="K221" i="1"/>
  <c r="K222" i="1"/>
  <c r="L218" i="1"/>
  <c r="L219" i="1"/>
  <c r="L220" i="1"/>
  <c r="L221" i="1"/>
  <c r="L222" i="1"/>
  <c r="M218" i="1"/>
  <c r="M219" i="1"/>
  <c r="M220" i="1"/>
  <c r="M221" i="1"/>
  <c r="M222" i="1"/>
  <c r="N219" i="1"/>
  <c r="N220" i="1"/>
  <c r="N221" i="1"/>
  <c r="N222" i="1"/>
  <c r="O218" i="1"/>
  <c r="O219" i="1"/>
  <c r="O220" i="1"/>
  <c r="O221" i="1"/>
  <c r="O222" i="1"/>
  <c r="P218" i="1"/>
  <c r="P219" i="1"/>
  <c r="P220" i="1"/>
  <c r="P221" i="1"/>
  <c r="P222" i="1"/>
  <c r="O9" i="2"/>
  <c r="N9" i="2"/>
  <c r="M9" i="2"/>
  <c r="L9" i="2"/>
  <c r="K9" i="2"/>
  <c r="O8" i="2"/>
  <c r="N8" i="2"/>
  <c r="M8" i="2"/>
  <c r="L8" i="2"/>
  <c r="K8" i="2"/>
  <c r="O7" i="2"/>
  <c r="N7" i="2"/>
  <c r="M7" i="2"/>
  <c r="L7" i="2"/>
  <c r="K7" i="2"/>
  <c r="O6" i="2"/>
  <c r="N6" i="2"/>
  <c r="M6" i="2"/>
  <c r="L6" i="2"/>
  <c r="K6" i="2"/>
  <c r="O5" i="2"/>
  <c r="N5" i="2"/>
  <c r="M5" i="2"/>
  <c r="L5" i="2"/>
  <c r="K5" i="2"/>
  <c r="O4" i="2"/>
  <c r="N4" i="2"/>
  <c r="M4" i="2"/>
  <c r="L4" i="2"/>
  <c r="K4" i="2"/>
  <c r="O3" i="2"/>
  <c r="N3" i="2"/>
  <c r="M3" i="2"/>
  <c r="L3" i="2"/>
  <c r="K3" i="2"/>
  <c r="O2" i="2"/>
  <c r="N2" i="2"/>
  <c r="M2" i="2"/>
  <c r="L2" i="2"/>
  <c r="K2" i="2"/>
  <c r="P1" i="2"/>
  <c r="O1" i="2"/>
  <c r="N1" i="2"/>
  <c r="M1" i="2"/>
  <c r="L1" i="2"/>
  <c r="K1" i="2"/>
  <c r="O185" i="1"/>
  <c r="P185" i="1" s="1"/>
  <c r="N185" i="1"/>
  <c r="M185" i="1"/>
  <c r="L185" i="1"/>
  <c r="K185" i="1"/>
  <c r="O186" i="1"/>
  <c r="P186" i="1" s="1"/>
  <c r="N186" i="1"/>
  <c r="M186" i="1"/>
  <c r="L186" i="1"/>
  <c r="K186" i="1"/>
  <c r="O187" i="1"/>
  <c r="P187" i="1" s="1"/>
  <c r="N187" i="1"/>
  <c r="M187" i="1"/>
  <c r="L187" i="1"/>
  <c r="K187" i="1"/>
  <c r="O188" i="1"/>
  <c r="P188" i="1" s="1"/>
  <c r="N188" i="1"/>
  <c r="M188" i="1"/>
  <c r="L188" i="1"/>
  <c r="K188" i="1"/>
  <c r="O210" i="1"/>
  <c r="P210" i="1" s="1"/>
  <c r="N210" i="1"/>
  <c r="M210" i="1"/>
  <c r="L210" i="1"/>
  <c r="K210" i="1"/>
  <c r="O209" i="1"/>
  <c r="P209" i="1" s="1"/>
  <c r="N209" i="1"/>
  <c r="M209" i="1"/>
  <c r="L209" i="1"/>
  <c r="K209" i="1"/>
  <c r="K207" i="1"/>
  <c r="L207" i="1"/>
  <c r="M207" i="1"/>
  <c r="N207" i="1"/>
  <c r="O207" i="1"/>
  <c r="P207" i="1"/>
  <c r="K208" i="1"/>
  <c r="L208" i="1"/>
  <c r="M208" i="1"/>
  <c r="N208" i="1"/>
  <c r="O208" i="1"/>
  <c r="P208" i="1"/>
  <c r="K206" i="1"/>
  <c r="L206" i="1"/>
  <c r="M206" i="1"/>
  <c r="N206" i="1"/>
  <c r="O206" i="1"/>
  <c r="P206" i="1"/>
  <c r="K205" i="1"/>
  <c r="L205" i="1"/>
  <c r="M205" i="1"/>
  <c r="N205" i="1"/>
  <c r="O205" i="1"/>
  <c r="P205" i="1"/>
  <c r="K204" i="1"/>
  <c r="L204" i="1"/>
  <c r="M204" i="1"/>
  <c r="N204" i="1"/>
  <c r="O204" i="1"/>
  <c r="P204" i="1"/>
  <c r="K202" i="1"/>
  <c r="L202" i="1"/>
  <c r="M202" i="1"/>
  <c r="N202" i="1"/>
  <c r="O202" i="1"/>
  <c r="P202" i="1"/>
  <c r="K203" i="1"/>
  <c r="L203" i="1"/>
  <c r="M203" i="1"/>
  <c r="N203" i="1"/>
  <c r="O203" i="1"/>
  <c r="P203" i="1"/>
  <c r="O201" i="1"/>
  <c r="P201" i="1" s="1"/>
  <c r="N201" i="1"/>
  <c r="M201" i="1"/>
  <c r="L201" i="1"/>
  <c r="K201" i="1"/>
  <c r="O200" i="1"/>
  <c r="P200" i="1" s="1"/>
  <c r="N200" i="1"/>
  <c r="M200" i="1"/>
  <c r="L200" i="1"/>
  <c r="K200" i="1"/>
  <c r="O199" i="1"/>
  <c r="P199" i="1" s="1"/>
  <c r="N199" i="1"/>
  <c r="M199" i="1"/>
  <c r="L199" i="1"/>
  <c r="K199" i="1"/>
  <c r="O198" i="1"/>
  <c r="P198" i="1" s="1"/>
  <c r="N198" i="1"/>
  <c r="M198" i="1"/>
  <c r="L198" i="1"/>
  <c r="K198" i="1"/>
  <c r="O197" i="1"/>
  <c r="P197" i="1" s="1"/>
  <c r="N197" i="1"/>
  <c r="M197" i="1"/>
  <c r="L197" i="1"/>
  <c r="K197" i="1"/>
  <c r="O196" i="1"/>
  <c r="P196" i="1" s="1"/>
  <c r="N196" i="1"/>
  <c r="M196" i="1"/>
  <c r="L196" i="1"/>
  <c r="K196" i="1"/>
  <c r="O195" i="1"/>
  <c r="P195" i="1" s="1"/>
  <c r="N195" i="1"/>
  <c r="M195" i="1"/>
  <c r="L195" i="1"/>
  <c r="K195" i="1"/>
  <c r="O194" i="1"/>
  <c r="P194" i="1" s="1"/>
  <c r="N194" i="1"/>
  <c r="M194" i="1"/>
  <c r="L194" i="1"/>
  <c r="K194" i="1"/>
  <c r="O193" i="1"/>
  <c r="P193" i="1" s="1"/>
  <c r="N193" i="1"/>
  <c r="M193" i="1"/>
  <c r="L193" i="1"/>
  <c r="K193" i="1"/>
  <c r="O192" i="1"/>
  <c r="P192" i="1" s="1"/>
  <c r="N192" i="1"/>
  <c r="M192" i="1"/>
  <c r="L192" i="1"/>
  <c r="K192" i="1"/>
  <c r="O191" i="1"/>
  <c r="P191" i="1" s="1"/>
  <c r="N191" i="1"/>
  <c r="M191" i="1"/>
  <c r="L191" i="1"/>
  <c r="K191" i="1"/>
  <c r="O184" i="1"/>
  <c r="P184" i="1" s="1"/>
  <c r="N184" i="1"/>
  <c r="M184" i="1"/>
  <c r="L184" i="1"/>
  <c r="K184" i="1"/>
  <c r="O183" i="1"/>
  <c r="P183" i="1" s="1"/>
  <c r="N183" i="1"/>
  <c r="M183" i="1"/>
  <c r="L183" i="1"/>
  <c r="K183" i="1"/>
  <c r="O182" i="1"/>
  <c r="P182" i="1" s="1"/>
  <c r="N182" i="1"/>
  <c r="M182" i="1"/>
  <c r="L182" i="1"/>
  <c r="K182" i="1"/>
  <c r="O181" i="1"/>
  <c r="P181" i="1" s="1"/>
  <c r="N181" i="1"/>
  <c r="M181" i="1"/>
  <c r="L181" i="1"/>
  <c r="K181" i="1"/>
  <c r="O180" i="1"/>
  <c r="P180" i="1" s="1"/>
  <c r="N180" i="1"/>
  <c r="M180" i="1"/>
  <c r="L180" i="1"/>
  <c r="K180" i="1"/>
  <c r="O179" i="1"/>
  <c r="P179" i="1" s="1"/>
  <c r="N179" i="1"/>
  <c r="M179" i="1"/>
  <c r="L179" i="1"/>
  <c r="K179" i="1"/>
  <c r="O178" i="1"/>
  <c r="P178" i="1" s="1"/>
  <c r="N178" i="1"/>
  <c r="M178" i="1"/>
  <c r="L178" i="1"/>
  <c r="K178" i="1"/>
  <c r="O177" i="1"/>
  <c r="P177" i="1" s="1"/>
  <c r="N177" i="1"/>
  <c r="M177" i="1"/>
  <c r="L177" i="1"/>
  <c r="K177" i="1"/>
  <c r="O176" i="1"/>
  <c r="P176" i="1" s="1"/>
  <c r="N176" i="1"/>
  <c r="M176" i="1"/>
  <c r="L176" i="1"/>
  <c r="K176" i="1"/>
  <c r="O175" i="1"/>
  <c r="P175" i="1" s="1"/>
  <c r="N175" i="1"/>
  <c r="M175" i="1"/>
  <c r="L175" i="1"/>
  <c r="K175" i="1"/>
  <c r="O174" i="1"/>
  <c r="P174" i="1" s="1"/>
  <c r="N174" i="1"/>
  <c r="M174" i="1"/>
  <c r="L174" i="1"/>
  <c r="K174" i="1"/>
  <c r="O173" i="1"/>
  <c r="P173" i="1" s="1"/>
  <c r="N173" i="1"/>
  <c r="M173" i="1"/>
  <c r="L173" i="1"/>
  <c r="K173" i="1"/>
  <c r="O172" i="1"/>
  <c r="P172" i="1" s="1"/>
  <c r="N172" i="1"/>
  <c r="M172" i="1"/>
  <c r="L172" i="1"/>
  <c r="K172" i="1"/>
  <c r="O171" i="1"/>
  <c r="P171" i="1" s="1"/>
  <c r="N171" i="1"/>
  <c r="M171" i="1"/>
  <c r="L171" i="1"/>
  <c r="K171" i="1"/>
  <c r="O170" i="1"/>
  <c r="P170" i="1" s="1"/>
  <c r="N170" i="1"/>
  <c r="M170" i="1"/>
  <c r="L170" i="1"/>
  <c r="K170" i="1"/>
  <c r="O169" i="1"/>
  <c r="P169" i="1" s="1"/>
  <c r="N169" i="1"/>
  <c r="M169" i="1"/>
  <c r="L169" i="1"/>
  <c r="K169" i="1"/>
  <c r="O168" i="1"/>
  <c r="P168" i="1" s="1"/>
  <c r="N168" i="1"/>
  <c r="M168" i="1"/>
  <c r="L168" i="1"/>
  <c r="K168" i="1"/>
  <c r="O167" i="1"/>
  <c r="P167" i="1" s="1"/>
  <c r="N167" i="1"/>
  <c r="M167" i="1"/>
  <c r="L167" i="1"/>
  <c r="K167" i="1"/>
  <c r="N165" i="1"/>
  <c r="N166" i="1"/>
  <c r="O75" i="1"/>
  <c r="N75" i="1"/>
  <c r="M75" i="1"/>
  <c r="L75" i="1"/>
  <c r="K75" i="1"/>
  <c r="O159" i="1"/>
  <c r="P159" i="1" s="1"/>
  <c r="N159" i="1"/>
  <c r="M159" i="1"/>
  <c r="L159" i="1"/>
  <c r="K159" i="1"/>
  <c r="O160" i="1"/>
  <c r="P160" i="1" s="1"/>
  <c r="N160" i="1"/>
  <c r="M160" i="1"/>
  <c r="L160" i="1"/>
  <c r="K160" i="1"/>
  <c r="K164" i="1"/>
  <c r="L164" i="1"/>
  <c r="M164" i="1"/>
  <c r="N164" i="1"/>
  <c r="O164" i="1"/>
  <c r="P164" i="1"/>
  <c r="K163" i="1"/>
  <c r="L163" i="1"/>
  <c r="M163" i="1"/>
  <c r="N163" i="1"/>
  <c r="O163" i="1"/>
  <c r="P163" i="1"/>
  <c r="K162" i="1"/>
  <c r="L162" i="1"/>
  <c r="M162" i="1"/>
  <c r="N162" i="1"/>
  <c r="O162" i="1"/>
  <c r="P162" i="1"/>
  <c r="K161" i="1"/>
  <c r="L161" i="1"/>
  <c r="M161" i="1"/>
  <c r="N161" i="1"/>
  <c r="O161" i="1"/>
  <c r="P161" i="1"/>
  <c r="K28" i="1"/>
  <c r="K27" i="1"/>
  <c r="L28" i="1"/>
  <c r="L27" i="1"/>
  <c r="M28" i="1"/>
  <c r="M27" i="1"/>
  <c r="N28" i="1"/>
  <c r="N27" i="1"/>
  <c r="O28" i="1"/>
  <c r="O27" i="1"/>
  <c r="P28" i="1"/>
  <c r="P27" i="1"/>
  <c r="K76" i="1"/>
  <c r="L76" i="1"/>
  <c r="M76" i="1"/>
  <c r="N76" i="1"/>
  <c r="O76" i="1"/>
  <c r="P76" i="1"/>
  <c r="P75" i="1"/>
  <c r="K126" i="1"/>
  <c r="K125" i="1"/>
  <c r="L126" i="1"/>
  <c r="L125" i="1"/>
  <c r="M126" i="1"/>
  <c r="M125" i="1"/>
  <c r="N126" i="1"/>
  <c r="N125" i="1"/>
  <c r="O126" i="1"/>
  <c r="O125" i="1"/>
  <c r="P126" i="1"/>
  <c r="P125" i="1"/>
  <c r="K26" i="1"/>
  <c r="K25" i="1"/>
  <c r="L26" i="1"/>
  <c r="L25" i="1"/>
  <c r="M26" i="1"/>
  <c r="M25" i="1"/>
  <c r="N26" i="1"/>
  <c r="N25" i="1"/>
  <c r="O26" i="1"/>
  <c r="O25" i="1"/>
  <c r="P26" i="1"/>
  <c r="P25" i="1"/>
  <c r="K73" i="1"/>
  <c r="L73" i="1"/>
  <c r="M73" i="1"/>
  <c r="N73" i="1"/>
  <c r="O73" i="1"/>
  <c r="P73" i="1"/>
  <c r="K74" i="1"/>
  <c r="L74" i="1"/>
  <c r="M74" i="1"/>
  <c r="N74" i="1"/>
  <c r="O74" i="1"/>
  <c r="P74" i="1"/>
  <c r="K123" i="1"/>
  <c r="L123" i="1"/>
  <c r="M123" i="1"/>
  <c r="N123" i="1"/>
  <c r="O123" i="1"/>
  <c r="P123" i="1"/>
  <c r="K124" i="1"/>
  <c r="L124" i="1"/>
  <c r="M124" i="1"/>
  <c r="N124" i="1"/>
  <c r="O124" i="1"/>
  <c r="P124" i="1"/>
  <c r="K158" i="1"/>
  <c r="L158" i="1"/>
  <c r="M158" i="1"/>
  <c r="N158" i="1"/>
  <c r="O158" i="1"/>
  <c r="P158" i="1"/>
  <c r="K157" i="1"/>
  <c r="L157" i="1"/>
  <c r="M157" i="1"/>
  <c r="N157" i="1"/>
  <c r="O157" i="1"/>
  <c r="P157" i="1"/>
  <c r="O3" i="1"/>
  <c r="P3" i="2" s="1"/>
  <c r="O4" i="1"/>
  <c r="O33" i="1"/>
  <c r="P33" i="1" s="1"/>
  <c r="O34" i="1"/>
  <c r="P34" i="1" s="1"/>
  <c r="O29" i="1"/>
  <c r="P29" i="1" s="1"/>
  <c r="O30" i="1"/>
  <c r="P30" i="1" s="1"/>
  <c r="O31" i="1"/>
  <c r="P31" i="1" s="1"/>
  <c r="O32" i="1"/>
  <c r="P32" i="1" s="1"/>
  <c r="O35" i="1"/>
  <c r="P35" i="1" s="1"/>
  <c r="O36" i="1"/>
  <c r="P36" i="1" s="1"/>
  <c r="O38" i="1"/>
  <c r="P38" i="1" s="1"/>
  <c r="O37" i="1"/>
  <c r="P37" i="1" s="1"/>
  <c r="O39" i="1"/>
  <c r="P39" i="1" s="1"/>
  <c r="O40" i="1"/>
  <c r="P40" i="1" s="1"/>
  <c r="O41" i="1"/>
  <c r="P41" i="1" s="1"/>
  <c r="O42" i="1"/>
  <c r="P42" i="1" s="1"/>
  <c r="O43" i="1"/>
  <c r="P43" i="1" s="1"/>
  <c r="O44" i="1"/>
  <c r="P44" i="1" s="1"/>
  <c r="O45" i="1"/>
  <c r="P45" i="1" s="1"/>
  <c r="O50" i="1"/>
  <c r="P50" i="1" s="1"/>
  <c r="O51" i="1"/>
  <c r="P51" i="1" s="1"/>
  <c r="O46" i="1"/>
  <c r="P46" i="1" s="1"/>
  <c r="O47" i="1"/>
  <c r="P47" i="1" s="1"/>
  <c r="O48" i="1"/>
  <c r="P48" i="1" s="1"/>
  <c r="O49" i="1"/>
  <c r="P49" i="1" s="1"/>
  <c r="O77" i="1"/>
  <c r="P77" i="1" s="1"/>
  <c r="O78" i="1"/>
  <c r="P78" i="1" s="1"/>
  <c r="O79" i="1"/>
  <c r="P79" i="1" s="1"/>
  <c r="O82" i="1"/>
  <c r="P82" i="1" s="1"/>
  <c r="O83" i="1"/>
  <c r="P83" i="1" s="1"/>
  <c r="O80" i="1"/>
  <c r="P80" i="1" s="1"/>
  <c r="O81" i="1"/>
  <c r="P81" i="1" s="1"/>
  <c r="O85" i="1"/>
  <c r="P85" i="1" s="1"/>
  <c r="O86" i="1"/>
  <c r="P86" i="1" s="1"/>
  <c r="O84" i="1"/>
  <c r="P84" i="1" s="1"/>
  <c r="O87" i="1"/>
  <c r="P87" i="1" s="1"/>
  <c r="O88" i="1"/>
  <c r="P88" i="1" s="1"/>
  <c r="O89" i="1"/>
  <c r="P89" i="1" s="1"/>
  <c r="O92" i="1"/>
  <c r="P92" i="1" s="1"/>
  <c r="O90" i="1"/>
  <c r="P90" i="1" s="1"/>
  <c r="O91" i="1"/>
  <c r="P91" i="1" s="1"/>
  <c r="O93" i="1"/>
  <c r="P93" i="1" s="1"/>
  <c r="O95" i="1"/>
  <c r="P95" i="1" s="1"/>
  <c r="O94" i="1"/>
  <c r="P94" i="1" s="1"/>
  <c r="O96" i="1"/>
  <c r="P96" i="1" s="1"/>
  <c r="O97" i="1"/>
  <c r="P97" i="1" s="1"/>
  <c r="O98" i="1"/>
  <c r="P98" i="1" s="1"/>
  <c r="O99" i="1"/>
  <c r="P99" i="1" s="1"/>
  <c r="O102" i="1"/>
  <c r="P102" i="1" s="1"/>
  <c r="O100" i="1"/>
  <c r="P100" i="1" s="1"/>
  <c r="O101" i="1"/>
  <c r="P101" i="1" s="1"/>
  <c r="O104" i="1"/>
  <c r="P104" i="1" s="1"/>
  <c r="O103" i="1"/>
  <c r="P103" i="1" s="1"/>
  <c r="O134" i="1"/>
  <c r="P134" i="1" s="1"/>
  <c r="O136" i="1"/>
  <c r="P136" i="1" s="1"/>
  <c r="O135" i="1"/>
  <c r="P135" i="1" s="1"/>
  <c r="O138" i="1"/>
  <c r="P138" i="1" s="1"/>
  <c r="O140" i="1"/>
  <c r="P140" i="1" s="1"/>
  <c r="O139" i="1"/>
  <c r="P139" i="1" s="1"/>
  <c r="O128" i="1"/>
  <c r="P128" i="1" s="1"/>
  <c r="O127" i="1"/>
  <c r="P127" i="1" s="1"/>
  <c r="O131" i="1"/>
  <c r="P131" i="1" s="1"/>
  <c r="O146" i="1"/>
  <c r="P146" i="1" s="1"/>
  <c r="O130" i="1"/>
  <c r="P130" i="1" s="1"/>
  <c r="O129" i="1"/>
  <c r="P129" i="1" s="1"/>
  <c r="O132" i="1"/>
  <c r="P132" i="1" s="1"/>
  <c r="O133" i="1"/>
  <c r="P133" i="1" s="1"/>
  <c r="O137" i="1"/>
  <c r="P137" i="1" s="1"/>
  <c r="O143" i="1"/>
  <c r="P143" i="1" s="1"/>
  <c r="O141" i="1"/>
  <c r="P141" i="1" s="1"/>
  <c r="O142" i="1"/>
  <c r="P142" i="1" s="1"/>
  <c r="O148" i="1"/>
  <c r="P148" i="1" s="1"/>
  <c r="O147" i="1"/>
  <c r="P147" i="1" s="1"/>
  <c r="O10" i="1"/>
  <c r="P10" i="1" s="1"/>
  <c r="O8" i="1"/>
  <c r="O58" i="1"/>
  <c r="P58" i="1" s="1"/>
  <c r="O56" i="1"/>
  <c r="P56" i="1" s="1"/>
  <c r="O111" i="1"/>
  <c r="P111" i="1" s="1"/>
  <c r="O109" i="1"/>
  <c r="P109" i="1" s="1"/>
  <c r="O149" i="1"/>
  <c r="P149" i="1" s="1"/>
  <c r="O150" i="1"/>
  <c r="P150" i="1" s="1"/>
  <c r="O156" i="1"/>
  <c r="P156" i="1" s="1"/>
  <c r="O155" i="1"/>
  <c r="P155" i="1" s="1"/>
  <c r="O154" i="1"/>
  <c r="P154" i="1" s="1"/>
  <c r="O153" i="1"/>
  <c r="P153" i="1" s="1"/>
  <c r="O145" i="1"/>
  <c r="P145" i="1" s="1"/>
  <c r="O144" i="1"/>
  <c r="P144" i="1" s="1"/>
  <c r="O19" i="1"/>
  <c r="P19" i="1" s="1"/>
  <c r="O17" i="1"/>
  <c r="P17" i="1" s="1"/>
  <c r="O67" i="1"/>
  <c r="P67" i="1" s="1"/>
  <c r="O65" i="1"/>
  <c r="P65" i="1" s="1"/>
  <c r="O117" i="1"/>
  <c r="P117" i="1" s="1"/>
  <c r="O115" i="1"/>
  <c r="P115" i="1" s="1"/>
  <c r="O20" i="1"/>
  <c r="P20" i="1" s="1"/>
  <c r="O18" i="1"/>
  <c r="P18" i="1" s="1"/>
  <c r="O68" i="1"/>
  <c r="P68" i="1" s="1"/>
  <c r="O66" i="1"/>
  <c r="P66" i="1" s="1"/>
  <c r="O118" i="1"/>
  <c r="P118" i="1" s="1"/>
  <c r="O116" i="1"/>
  <c r="P116" i="1" s="1"/>
  <c r="O24" i="1"/>
  <c r="P24" i="1" s="1"/>
  <c r="O22" i="1"/>
  <c r="P22" i="1" s="1"/>
  <c r="O23" i="1"/>
  <c r="P23" i="1" s="1"/>
  <c r="O21" i="1"/>
  <c r="P21" i="1" s="1"/>
  <c r="O72" i="1"/>
  <c r="P72" i="1" s="1"/>
  <c r="O70" i="1"/>
  <c r="P70" i="1" s="1"/>
  <c r="O71" i="1"/>
  <c r="P71" i="1" s="1"/>
  <c r="O69" i="1"/>
  <c r="P69" i="1" s="1"/>
  <c r="O122" i="1"/>
  <c r="P122" i="1" s="1"/>
  <c r="O120" i="1"/>
  <c r="P120" i="1" s="1"/>
  <c r="O121" i="1"/>
  <c r="P121" i="1" s="1"/>
  <c r="O119" i="1"/>
  <c r="P119" i="1" s="1"/>
  <c r="O16" i="1"/>
  <c r="P16" i="1" s="1"/>
  <c r="O15" i="1"/>
  <c r="P15" i="1" s="1"/>
  <c r="O64" i="1"/>
  <c r="P64" i="1" s="1"/>
  <c r="O63" i="1"/>
  <c r="P63" i="1" s="1"/>
  <c r="O114" i="1"/>
  <c r="P114" i="1" s="1"/>
  <c r="O113" i="1"/>
  <c r="P113" i="1" s="1"/>
  <c r="O13" i="1"/>
  <c r="P13" i="1" s="1"/>
  <c r="O12" i="1"/>
  <c r="P12" i="1" s="1"/>
  <c r="O14" i="1"/>
  <c r="P14" i="1" s="1"/>
  <c r="O61" i="1"/>
  <c r="P61" i="1" s="1"/>
  <c r="O60" i="1"/>
  <c r="P60" i="1" s="1"/>
  <c r="O62" i="1"/>
  <c r="P62" i="1" s="1"/>
  <c r="O9" i="1"/>
  <c r="O11" i="1"/>
  <c r="P11" i="1" s="1"/>
  <c r="O57" i="1"/>
  <c r="P57" i="1" s="1"/>
  <c r="O59" i="1"/>
  <c r="P59" i="1" s="1"/>
  <c r="O110" i="1"/>
  <c r="P110" i="1" s="1"/>
  <c r="O112" i="1"/>
  <c r="P112" i="1" s="1"/>
  <c r="O6" i="1"/>
  <c r="O7" i="1"/>
  <c r="O54" i="1"/>
  <c r="P54" i="1" s="1"/>
  <c r="O55" i="1"/>
  <c r="P55" i="1" s="1"/>
  <c r="O107" i="1"/>
  <c r="P107" i="1" s="1"/>
  <c r="O108" i="1"/>
  <c r="P108" i="1" s="1"/>
  <c r="O5" i="1"/>
  <c r="O53" i="1"/>
  <c r="P53" i="1" s="1"/>
  <c r="O106" i="1"/>
  <c r="P106" i="1" s="1"/>
  <c r="O2" i="1"/>
  <c r="O52" i="1"/>
  <c r="P52" i="1" s="1"/>
  <c r="O105" i="1"/>
  <c r="P105" i="1" s="1"/>
  <c r="O151" i="1"/>
  <c r="P151" i="1" s="1"/>
  <c r="O152" i="1"/>
  <c r="P152" i="1" s="1"/>
  <c r="K152" i="1"/>
  <c r="L152" i="1"/>
  <c r="M152" i="1"/>
  <c r="N152" i="1"/>
  <c r="K151" i="1"/>
  <c r="L151" i="1"/>
  <c r="M151" i="1"/>
  <c r="N151" i="1"/>
  <c r="K52" i="1"/>
  <c r="K105" i="1"/>
  <c r="L52" i="1"/>
  <c r="L105" i="1"/>
  <c r="M52" i="1"/>
  <c r="M105" i="1"/>
  <c r="N52" i="1"/>
  <c r="N105" i="1"/>
  <c r="K2" i="1"/>
  <c r="L2" i="1"/>
  <c r="M2" i="1"/>
  <c r="N2" i="1"/>
  <c r="N106" i="1"/>
  <c r="M106" i="1"/>
  <c r="L106" i="1"/>
  <c r="K106" i="1"/>
  <c r="K53" i="1"/>
  <c r="L53" i="1"/>
  <c r="M53" i="1"/>
  <c r="N53" i="1"/>
  <c r="K5" i="1"/>
  <c r="L5" i="1"/>
  <c r="M5" i="1"/>
  <c r="N5" i="1"/>
  <c r="K54" i="1"/>
  <c r="K55" i="1"/>
  <c r="K107" i="1"/>
  <c r="K108" i="1"/>
  <c r="L54" i="1"/>
  <c r="L55" i="1"/>
  <c r="L107" i="1"/>
  <c r="L108" i="1"/>
  <c r="M54" i="1"/>
  <c r="M55" i="1"/>
  <c r="M107" i="1"/>
  <c r="M108" i="1"/>
  <c r="N54" i="1"/>
  <c r="N55" i="1"/>
  <c r="N107" i="1"/>
  <c r="N108" i="1"/>
  <c r="K7" i="1"/>
  <c r="L7" i="1"/>
  <c r="M7" i="1"/>
  <c r="N7" i="1"/>
  <c r="K6" i="1"/>
  <c r="L6" i="1"/>
  <c r="M6" i="1"/>
  <c r="N6" i="1"/>
  <c r="K110" i="1"/>
  <c r="K112" i="1"/>
  <c r="L110" i="1"/>
  <c r="L112" i="1"/>
  <c r="M110" i="1"/>
  <c r="M112" i="1"/>
  <c r="N110" i="1"/>
  <c r="N112" i="1"/>
  <c r="K57" i="1"/>
  <c r="K59" i="1"/>
  <c r="L57" i="1"/>
  <c r="L59" i="1"/>
  <c r="M57" i="1"/>
  <c r="M59" i="1"/>
  <c r="N57" i="1"/>
  <c r="N59" i="1"/>
  <c r="K11" i="1"/>
  <c r="L11" i="1"/>
  <c r="M11" i="1"/>
  <c r="N11" i="1"/>
  <c r="K9" i="1"/>
  <c r="L9" i="1"/>
  <c r="M9" i="1"/>
  <c r="N9" i="1"/>
  <c r="K62" i="1"/>
  <c r="L62" i="1"/>
  <c r="M62" i="1"/>
  <c r="N62" i="1"/>
  <c r="K61" i="1"/>
  <c r="K60" i="1"/>
  <c r="L61" i="1"/>
  <c r="L60" i="1"/>
  <c r="M61" i="1"/>
  <c r="M60" i="1"/>
  <c r="N61" i="1"/>
  <c r="N60" i="1"/>
  <c r="K14" i="1"/>
  <c r="L14" i="1"/>
  <c r="M14" i="1"/>
  <c r="N14" i="1"/>
  <c r="K12" i="1"/>
  <c r="L12" i="1"/>
  <c r="M12" i="1"/>
  <c r="N12" i="1"/>
  <c r="K13" i="1"/>
  <c r="L13" i="1"/>
  <c r="M13" i="1"/>
  <c r="N13" i="1"/>
  <c r="K114" i="1"/>
  <c r="K113" i="1"/>
  <c r="L114" i="1"/>
  <c r="L113" i="1"/>
  <c r="M114" i="1"/>
  <c r="M113" i="1"/>
  <c r="N114" i="1"/>
  <c r="N113" i="1"/>
  <c r="K64" i="1"/>
  <c r="K63" i="1"/>
  <c r="L64" i="1"/>
  <c r="L63" i="1"/>
  <c r="M64" i="1"/>
  <c r="M63" i="1"/>
  <c r="N64" i="1"/>
  <c r="N63" i="1"/>
  <c r="K15" i="1"/>
  <c r="L15" i="1"/>
  <c r="M15" i="1"/>
  <c r="N15" i="1"/>
  <c r="K16" i="1"/>
  <c r="L16" i="1"/>
  <c r="M16" i="1"/>
  <c r="N16" i="1"/>
  <c r="K122" i="1"/>
  <c r="K120" i="1"/>
  <c r="K121" i="1"/>
  <c r="K119" i="1"/>
  <c r="L122" i="1"/>
  <c r="L120" i="1"/>
  <c r="L121" i="1"/>
  <c r="L119" i="1"/>
  <c r="M122" i="1"/>
  <c r="M120" i="1"/>
  <c r="M121" i="1"/>
  <c r="M119" i="1"/>
  <c r="N122" i="1"/>
  <c r="N120" i="1"/>
  <c r="N121" i="1"/>
  <c r="N119" i="1"/>
  <c r="K72" i="1"/>
  <c r="K70" i="1"/>
  <c r="K71" i="1"/>
  <c r="K69" i="1"/>
  <c r="L72" i="1"/>
  <c r="L70" i="1"/>
  <c r="L71" i="1"/>
  <c r="L69" i="1"/>
  <c r="M72" i="1"/>
  <c r="M70" i="1"/>
  <c r="M71" i="1"/>
  <c r="M69" i="1"/>
  <c r="N72" i="1"/>
  <c r="N70" i="1"/>
  <c r="N71" i="1"/>
  <c r="N69" i="1"/>
  <c r="K23" i="1"/>
  <c r="K21" i="1"/>
  <c r="L23" i="1"/>
  <c r="L21" i="1"/>
  <c r="M23" i="1"/>
  <c r="M21" i="1"/>
  <c r="N23" i="1"/>
  <c r="N21" i="1"/>
  <c r="K22" i="1"/>
  <c r="L22" i="1"/>
  <c r="M22" i="1"/>
  <c r="N22" i="1"/>
  <c r="K24" i="1"/>
  <c r="L24" i="1"/>
  <c r="M24" i="1"/>
  <c r="N24" i="1"/>
  <c r="K18" i="1"/>
  <c r="K68" i="1"/>
  <c r="K66" i="1"/>
  <c r="K118" i="1"/>
  <c r="K116" i="1"/>
  <c r="L18" i="1"/>
  <c r="L68" i="1"/>
  <c r="L66" i="1"/>
  <c r="L118" i="1"/>
  <c r="L116" i="1"/>
  <c r="M18" i="1"/>
  <c r="M68" i="1"/>
  <c r="M66" i="1"/>
  <c r="M118" i="1"/>
  <c r="M116" i="1"/>
  <c r="N18" i="1"/>
  <c r="N68" i="1"/>
  <c r="N66" i="1"/>
  <c r="N118" i="1"/>
  <c r="N116" i="1"/>
  <c r="K20" i="1"/>
  <c r="L20" i="1"/>
  <c r="M20" i="1"/>
  <c r="N20" i="1"/>
  <c r="K109" i="1"/>
  <c r="L109" i="1"/>
  <c r="M109" i="1"/>
  <c r="N109" i="1"/>
  <c r="K111" i="1"/>
  <c r="L111" i="1"/>
  <c r="M111" i="1"/>
  <c r="N111" i="1"/>
  <c r="K56" i="1"/>
  <c r="L56" i="1"/>
  <c r="M56" i="1"/>
  <c r="N56" i="1"/>
  <c r="K58" i="1"/>
  <c r="L58" i="1"/>
  <c r="M58" i="1"/>
  <c r="N58" i="1"/>
  <c r="K117" i="1"/>
  <c r="K115" i="1"/>
  <c r="L117" i="1"/>
  <c r="L115" i="1"/>
  <c r="M117" i="1"/>
  <c r="M115" i="1"/>
  <c r="N117" i="1"/>
  <c r="N115" i="1"/>
  <c r="L67" i="1"/>
  <c r="L65" i="1"/>
  <c r="M67" i="1"/>
  <c r="M65" i="1"/>
  <c r="N67" i="1"/>
  <c r="N65" i="1"/>
  <c r="K67" i="1"/>
  <c r="K65" i="1"/>
  <c r="K17" i="1"/>
  <c r="L17" i="1"/>
  <c r="M17" i="1"/>
  <c r="N17" i="1"/>
  <c r="K19" i="1"/>
  <c r="L19" i="1"/>
  <c r="M19" i="1"/>
  <c r="N19" i="1"/>
  <c r="K144" i="1"/>
  <c r="L144" i="1"/>
  <c r="M144" i="1"/>
  <c r="N144" i="1"/>
  <c r="K145" i="1"/>
  <c r="L145" i="1"/>
  <c r="M145" i="1"/>
  <c r="N145" i="1"/>
  <c r="K153" i="1"/>
  <c r="L153" i="1"/>
  <c r="M153" i="1"/>
  <c r="N153" i="1"/>
  <c r="K154" i="1"/>
  <c r="L154" i="1"/>
  <c r="M154" i="1"/>
  <c r="N154" i="1"/>
  <c r="K155" i="1"/>
  <c r="L155" i="1"/>
  <c r="M155" i="1"/>
  <c r="N155" i="1"/>
  <c r="K156" i="1"/>
  <c r="L156" i="1"/>
  <c r="M156" i="1"/>
  <c r="N156" i="1"/>
  <c r="K150" i="1"/>
  <c r="L150" i="1"/>
  <c r="M150" i="1"/>
  <c r="N150" i="1"/>
  <c r="K149" i="1"/>
  <c r="L149" i="1"/>
  <c r="M149" i="1"/>
  <c r="N149" i="1"/>
  <c r="K8" i="1"/>
  <c r="L8" i="1"/>
  <c r="M8" i="1"/>
  <c r="N8" i="1"/>
  <c r="K10" i="1"/>
  <c r="L10" i="1"/>
  <c r="M10" i="1"/>
  <c r="N10" i="1"/>
  <c r="K147" i="1"/>
  <c r="L147" i="1"/>
  <c r="M147" i="1"/>
  <c r="N147" i="1"/>
  <c r="K148" i="1"/>
  <c r="L148" i="1"/>
  <c r="M148" i="1"/>
  <c r="N148" i="1"/>
  <c r="K142" i="1"/>
  <c r="L142" i="1"/>
  <c r="M142" i="1"/>
  <c r="N142" i="1"/>
  <c r="K141" i="1"/>
  <c r="L141" i="1"/>
  <c r="M141" i="1"/>
  <c r="N141" i="1"/>
  <c r="K143" i="1"/>
  <c r="L143" i="1"/>
  <c r="M143" i="1"/>
  <c r="N143" i="1"/>
  <c r="K137" i="1"/>
  <c r="L137" i="1"/>
  <c r="M137" i="1"/>
  <c r="N137" i="1"/>
  <c r="K133" i="1"/>
  <c r="L133" i="1"/>
  <c r="M133" i="1"/>
  <c r="N133" i="1"/>
  <c r="K132" i="1"/>
  <c r="L132" i="1"/>
  <c r="M132" i="1"/>
  <c r="N132" i="1"/>
  <c r="K129" i="1"/>
  <c r="L129" i="1"/>
  <c r="M129" i="1"/>
  <c r="N129" i="1"/>
  <c r="K130" i="1"/>
  <c r="L130" i="1"/>
  <c r="M130" i="1"/>
  <c r="N130" i="1"/>
  <c r="K146" i="1"/>
  <c r="L146" i="1"/>
  <c r="M146" i="1"/>
  <c r="N146" i="1"/>
  <c r="K131" i="1"/>
  <c r="L131" i="1"/>
  <c r="M131" i="1"/>
  <c r="N131" i="1"/>
  <c r="K127" i="1"/>
  <c r="L127" i="1"/>
  <c r="M127" i="1"/>
  <c r="N127" i="1"/>
  <c r="K128" i="1"/>
  <c r="L128" i="1"/>
  <c r="M128" i="1"/>
  <c r="N128" i="1"/>
  <c r="K139" i="1"/>
  <c r="L139" i="1"/>
  <c r="M139" i="1"/>
  <c r="N139" i="1"/>
  <c r="K140" i="1"/>
  <c r="L140" i="1"/>
  <c r="M140" i="1"/>
  <c r="N140" i="1"/>
  <c r="K138" i="1"/>
  <c r="L138" i="1"/>
  <c r="M138" i="1"/>
  <c r="N138" i="1"/>
  <c r="K136" i="1"/>
  <c r="K135" i="1"/>
  <c r="L136" i="1"/>
  <c r="L135" i="1"/>
  <c r="M136" i="1"/>
  <c r="M135" i="1"/>
  <c r="N136" i="1"/>
  <c r="N135" i="1"/>
  <c r="K134" i="1"/>
  <c r="L134" i="1"/>
  <c r="M134" i="1"/>
  <c r="N134" i="1"/>
  <c r="N3" i="1"/>
  <c r="N4" i="1"/>
  <c r="N33" i="1"/>
  <c r="N34" i="1"/>
  <c r="N29" i="1"/>
  <c r="N30" i="1"/>
  <c r="N31" i="1"/>
  <c r="N32" i="1"/>
  <c r="N35" i="1"/>
  <c r="N36" i="1"/>
  <c r="N38" i="1"/>
  <c r="N37" i="1"/>
  <c r="N39" i="1"/>
  <c r="N40" i="1"/>
  <c r="N41" i="1"/>
  <c r="N42" i="1"/>
  <c r="N43" i="1"/>
  <c r="N44" i="1"/>
  <c r="N45" i="1"/>
  <c r="N50" i="1"/>
  <c r="N51" i="1"/>
  <c r="N46" i="1"/>
  <c r="N47" i="1"/>
  <c r="N48" i="1"/>
  <c r="N49" i="1"/>
  <c r="N77" i="1"/>
  <c r="N78" i="1"/>
  <c r="N79" i="1"/>
  <c r="N82" i="1"/>
  <c r="N83" i="1"/>
  <c r="N80" i="1"/>
  <c r="N81" i="1"/>
  <c r="N85" i="1"/>
  <c r="N86" i="1"/>
  <c r="N84" i="1"/>
  <c r="N87" i="1"/>
  <c r="N88" i="1"/>
  <c r="N89" i="1"/>
  <c r="N92" i="1"/>
  <c r="N90" i="1"/>
  <c r="N91" i="1"/>
  <c r="N93" i="1"/>
  <c r="N95" i="1"/>
  <c r="N94" i="1"/>
  <c r="N96" i="1"/>
  <c r="N97" i="1"/>
  <c r="N98" i="1"/>
  <c r="N99" i="1"/>
  <c r="N102" i="1"/>
  <c r="N100" i="1"/>
  <c r="N101" i="1"/>
  <c r="N104" i="1"/>
  <c r="N103" i="1"/>
  <c r="K103" i="1"/>
  <c r="L103" i="1"/>
  <c r="M103" i="1"/>
  <c r="K104" i="1"/>
  <c r="L104" i="1"/>
  <c r="M104" i="1"/>
  <c r="K101" i="1"/>
  <c r="L101" i="1"/>
  <c r="M101" i="1"/>
  <c r="K97" i="1"/>
  <c r="K98" i="1"/>
  <c r="K99" i="1"/>
  <c r="K100" i="1"/>
  <c r="K102" i="1"/>
  <c r="L97" i="1"/>
  <c r="L98" i="1"/>
  <c r="L99" i="1"/>
  <c r="L100" i="1"/>
  <c r="L102" i="1"/>
  <c r="M97" i="1"/>
  <c r="M98" i="1"/>
  <c r="M99" i="1"/>
  <c r="M100" i="1"/>
  <c r="M102" i="1"/>
  <c r="K96" i="1"/>
  <c r="L96" i="1"/>
  <c r="M96" i="1"/>
  <c r="L94" i="1"/>
  <c r="M94" i="1"/>
  <c r="K94" i="1"/>
  <c r="L95" i="1"/>
  <c r="M95" i="1"/>
  <c r="K95" i="1"/>
  <c r="K93" i="1"/>
  <c r="L93" i="1"/>
  <c r="M93" i="1"/>
  <c r="K91" i="1"/>
  <c r="L91" i="1"/>
  <c r="M91" i="1"/>
  <c r="K90" i="1"/>
  <c r="L90" i="1"/>
  <c r="M90" i="1"/>
  <c r="K92" i="1"/>
  <c r="L92" i="1"/>
  <c r="M92" i="1"/>
  <c r="K89" i="1"/>
  <c r="L89" i="1"/>
  <c r="M89" i="1"/>
  <c r="M87" i="1"/>
  <c r="L87" i="1"/>
  <c r="K87" i="1"/>
  <c r="K88" i="1"/>
  <c r="L88" i="1"/>
  <c r="M88" i="1"/>
  <c r="K84" i="1"/>
  <c r="L84" i="1"/>
  <c r="M84" i="1"/>
  <c r="K86" i="1"/>
  <c r="L86" i="1"/>
  <c r="M86" i="1"/>
  <c r="K85" i="1"/>
  <c r="L85" i="1"/>
  <c r="M85" i="1"/>
  <c r="K81" i="1"/>
  <c r="L81" i="1"/>
  <c r="M81" i="1"/>
  <c r="K80" i="1"/>
  <c r="L80" i="1"/>
  <c r="M80" i="1"/>
  <c r="K83" i="1"/>
  <c r="L83" i="1"/>
  <c r="M83" i="1"/>
  <c r="K82" i="1"/>
  <c r="L82" i="1"/>
  <c r="M82" i="1"/>
  <c r="K79" i="1"/>
  <c r="L79" i="1"/>
  <c r="M79" i="1"/>
  <c r="K78" i="1"/>
  <c r="L78" i="1"/>
  <c r="M78" i="1"/>
  <c r="K77" i="1"/>
  <c r="L77" i="1"/>
  <c r="M77" i="1"/>
  <c r="M3" i="1"/>
  <c r="K3" i="1"/>
  <c r="M4" i="1"/>
  <c r="M33" i="1"/>
  <c r="M34" i="1"/>
  <c r="M29" i="1"/>
  <c r="M30" i="1"/>
  <c r="M31" i="1"/>
  <c r="M32" i="1"/>
  <c r="M35" i="1"/>
  <c r="M36" i="1"/>
  <c r="M38" i="1"/>
  <c r="M37" i="1"/>
  <c r="M39" i="1"/>
  <c r="M40" i="1"/>
  <c r="M41" i="1"/>
  <c r="M42" i="1"/>
  <c r="M43" i="1"/>
  <c r="M44" i="1"/>
  <c r="M45" i="1"/>
  <c r="M50" i="1"/>
  <c r="M51" i="1"/>
  <c r="M46" i="1"/>
  <c r="M47" i="1"/>
  <c r="M48" i="1"/>
  <c r="M49" i="1"/>
  <c r="L3" i="1"/>
  <c r="L4" i="1"/>
  <c r="L33" i="1"/>
  <c r="L34" i="1"/>
  <c r="L29" i="1"/>
  <c r="L30" i="1"/>
  <c r="L31" i="1"/>
  <c r="L32" i="1"/>
  <c r="L35" i="1"/>
  <c r="L36" i="1"/>
  <c r="L38" i="1"/>
  <c r="L37" i="1"/>
  <c r="L39" i="1"/>
  <c r="L40" i="1"/>
  <c r="L41" i="1"/>
  <c r="L42" i="1"/>
  <c r="L43" i="1"/>
  <c r="L44" i="1"/>
  <c r="L45" i="1"/>
  <c r="L50" i="1"/>
  <c r="L51" i="1"/>
  <c r="L46" i="1"/>
  <c r="L47" i="1"/>
  <c r="L48" i="1"/>
  <c r="L49" i="1"/>
  <c r="K49" i="1"/>
  <c r="K48" i="1"/>
  <c r="K47" i="1"/>
  <c r="K46" i="1"/>
  <c r="K51" i="1"/>
  <c r="K50" i="1"/>
  <c r="K44" i="1"/>
  <c r="K45" i="1"/>
  <c r="K43" i="1"/>
  <c r="K42" i="1"/>
  <c r="K41" i="1"/>
  <c r="K40" i="1"/>
  <c r="K39" i="1"/>
  <c r="K37" i="1"/>
  <c r="K38" i="1"/>
  <c r="K36" i="1"/>
  <c r="K35" i="1"/>
  <c r="K32" i="1"/>
  <c r="K31" i="1"/>
  <c r="K30" i="1"/>
  <c r="K29" i="1"/>
  <c r="K34" i="1"/>
  <c r="K33" i="1"/>
  <c r="K4" i="1"/>
  <c r="P2" i="1" l="1"/>
  <c r="P2" i="2"/>
  <c r="P5" i="1"/>
  <c r="P5" i="2"/>
  <c r="P7" i="1"/>
  <c r="P7" i="2"/>
  <c r="P6" i="1"/>
  <c r="P6" i="2"/>
  <c r="P9" i="1"/>
  <c r="P9" i="2"/>
  <c r="P8" i="1"/>
  <c r="P8" i="2"/>
  <c r="P4" i="1"/>
  <c r="P4" i="2"/>
  <c r="P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Donna Galletta</author>
  </authors>
  <commentList>
    <comment ref="G1" authorId="0" shapeId="0" xr:uid="{651A3BC9-9674-4298-9C29-D0A8752ADD35}">
      <text>
        <r>
          <rPr>
            <sz val="12"/>
            <color rgb="FF000000"/>
            <rFont val="Aptos Narrow"/>
            <family val="2"/>
          </rPr>
          <t xml:space="preserve">Donna Galletta:
</t>
        </r>
        <r>
          <rPr>
            <sz val="12"/>
            <color rgb="FF000000"/>
            <rFont val="Aptos Narrow"/>
            <family val="2"/>
          </rPr>
          <t>Unique Delivered</t>
        </r>
      </text>
    </comment>
    <comment ref="H1" authorId="0" shapeId="0" xr:uid="{761775B3-0FA0-C74F-B0E5-F8D8501271BC}">
      <text>
        <r>
          <rPr>
            <b/>
            <sz val="10"/>
            <color rgb="FF000000"/>
            <rFont val="Tahoma"/>
            <family val="2"/>
          </rPr>
          <t>Donna Galletta:</t>
        </r>
        <r>
          <rPr>
            <sz val="10"/>
            <color rgb="FF000000"/>
            <rFont val="Tahoma"/>
            <family val="2"/>
          </rPr>
          <t xml:space="preserve">
</t>
        </r>
        <r>
          <rPr>
            <sz val="10"/>
            <color rgb="FF000000"/>
            <rFont val="Tahoma"/>
            <family val="2"/>
          </rPr>
          <t xml:space="preserve">Unique Estimated Email Opens
</t>
        </r>
      </text>
    </comment>
    <comment ref="I1" authorId="0" shapeId="0" xr:uid="{CA7289F9-DD5C-094B-A1F9-837957C16609}">
      <text>
        <r>
          <rPr>
            <b/>
            <sz val="10"/>
            <color rgb="FF000000"/>
            <rFont val="Tahoma"/>
            <family val="2"/>
          </rPr>
          <t>Donna Galletta:</t>
        </r>
        <r>
          <rPr>
            <sz val="10"/>
            <color rgb="FF000000"/>
            <rFont val="Tahoma"/>
            <family val="2"/>
          </rPr>
          <t xml:space="preserve">
</t>
        </r>
        <r>
          <rPr>
            <sz val="10"/>
            <color rgb="FF000000"/>
            <rFont val="Tahoma"/>
            <family val="2"/>
          </rPr>
          <t xml:space="preserve">Unique Clicks
</t>
        </r>
      </text>
    </comment>
    <comment ref="J1" authorId="0" shapeId="0" xr:uid="{1AA12233-02ED-4D72-BA58-AF298CB539D6}">
      <text>
        <r>
          <rPr>
            <sz val="12"/>
            <color theme="1"/>
            <rFont val="Aptos Narrow"/>
            <family val="2"/>
            <scheme val="minor"/>
          </rPr>
          <t xml:space="preserve">Donna Galletta:
Unique Email Unsubscribes
</t>
        </r>
      </text>
    </comment>
    <comment ref="L1" authorId="0" shapeId="0" xr:uid="{001E35C9-A833-4BAF-AFEF-45767160AAD2}">
      <text>
        <r>
          <rPr>
            <sz val="12"/>
            <color rgb="FF000000"/>
            <rFont val="Aptos Narrow"/>
            <family val="2"/>
          </rPr>
          <t xml:space="preserve">Donna Galletta:
</t>
        </r>
        <r>
          <rPr>
            <sz val="12"/>
            <color rgb="FF000000"/>
            <rFont val="Aptos Narrow"/>
            <family val="2"/>
          </rPr>
          <t>Unique Estimated Email Opens</t>
        </r>
      </text>
    </comment>
    <comment ref="M1" authorId="0" shapeId="0" xr:uid="{804E0167-C66F-4E99-BA53-5FA4C0ED2323}">
      <text>
        <r>
          <rPr>
            <sz val="12"/>
            <color rgb="FF000000"/>
            <rFont val="Aptos Narrow"/>
            <family val="2"/>
          </rPr>
          <t xml:space="preserve">Donna Galletta:
</t>
        </r>
        <r>
          <rPr>
            <sz val="12"/>
            <color rgb="FF000000"/>
            <rFont val="Aptos Narrow"/>
            <family val="2"/>
          </rPr>
          <t xml:space="preserve">Unique Clicks (AJO)
</t>
        </r>
      </text>
    </comment>
    <comment ref="N1" authorId="0" shapeId="0" xr:uid="{C532881C-78D0-47C7-88B0-EC09AAD9C203}">
      <text>
        <r>
          <rPr>
            <sz val="12"/>
            <color rgb="FF000000"/>
            <rFont val="Aptos Narrow"/>
            <family val="2"/>
          </rPr>
          <t xml:space="preserve">Donna Galletta:
</t>
        </r>
        <r>
          <rPr>
            <sz val="12"/>
            <color rgb="FF000000"/>
            <rFont val="Aptos Narrow"/>
            <family val="2"/>
          </rPr>
          <t xml:space="preserve">Unique Clicks (AJO)
</t>
        </r>
      </text>
    </comment>
    <comment ref="O1" authorId="0" shapeId="0" xr:uid="{392D3804-56EC-4160-B43F-7901312E770F}">
      <text>
        <r>
          <rPr>
            <sz val="12"/>
            <color theme="1"/>
            <rFont val="Aptos Narrow"/>
            <family val="2"/>
            <scheme val="minor"/>
          </rPr>
          <t xml:space="preserve">Engagement Score (%) =
(Open Rate (%) × 0.5) + (Click Rate (%) × 0.5) − 2 × Unsub Rate (%)
&gt;Open Rate: Accounts for 50% of the score. Campaigns with more opens get a higher score.
&gt;Click Rate: Also accounts for 50% of the score. Campaigns with very few clicks will see their score reduced, even if open rates are high.
&gt;Unsubscribe Rate: Each unsubscribe counts double, so campaigns with higher unsubscribes are penalised more.
Rewards campaigns that not only get opened but also encourage engagement.
</t>
        </r>
      </text>
    </comment>
    <comment ref="P1" authorId="0" shapeId="0" xr:uid="{E6510ECF-D05E-4F7D-9FA1-A4B9CE20D238}">
      <text>
        <r>
          <rPr>
            <sz val="12"/>
            <color theme="1"/>
            <rFont val="Aptos Narrow"/>
            <family val="2"/>
            <scheme val="minor"/>
          </rPr>
          <t xml:space="preserve">🟢 Green: Score ≥ 40 (really strong engagement, opens + clicks significant)
🟡 Yellow: Score ≥ 30 and &lt; 40 (moderate engagement)
🔴 Red: Score &lt; 30 (low engagement, clicks too low)
</t>
        </r>
      </text>
    </comment>
    <comment ref="T1" authorId="0" shapeId="0" xr:uid="{C85A22D2-5413-4932-95A0-6343FF53898D}">
      <text>
        <r>
          <rPr>
            <sz val="12"/>
            <color theme="1"/>
            <rFont val="Aptos Narrow"/>
            <family val="2"/>
            <scheme val="minor"/>
          </rPr>
          <t>Donna Galletta:
Filter via: 
Aggregate Report</t>
        </r>
      </text>
    </comment>
    <comment ref="B146" authorId="0" shapeId="0" xr:uid="{C9B65281-9BE7-415E-BC60-82F4EC705313}">
      <text>
        <r>
          <rPr>
            <sz val="12"/>
            <color theme="1"/>
            <rFont val="Aptos Narrow"/>
            <family val="2"/>
            <scheme val="minor"/>
          </rPr>
          <t xml:space="preserve">Donna Galletta:
For context: both journeys were deployed. The Media Super audience was updated to include the full targeted group, as the initial list didn’t upload all the required MS members. Hence we then published 2. Media Super [Audience Update]. Hope that helps clarify the difference between the two journeys.
</t>
        </r>
      </text>
    </comment>
  </commentList>
</comments>
</file>

<file path=xl/sharedStrings.xml><?xml version="1.0" encoding="utf-8"?>
<sst xmlns="http://schemas.openxmlformats.org/spreadsheetml/2006/main" count="1376" uniqueCount="278">
  <si>
    <t>img-id</t>
  </si>
  <si>
    <t>name</t>
  </si>
  <si>
    <t>date</t>
  </si>
  <si>
    <t>brand</t>
  </si>
  <si>
    <t>type</t>
  </si>
  <si>
    <t>send-type</t>
  </si>
  <si>
    <t>unique-sends</t>
  </si>
  <si>
    <t>unique-opens</t>
  </si>
  <si>
    <t>unique-clicks</t>
  </si>
  <si>
    <t>unsub</t>
  </si>
  <si>
    <t>unsub-pc</t>
  </si>
  <si>
    <t>unique-opens-pc</t>
  </si>
  <si>
    <t>unique-clicks-pc</t>
  </si>
  <si>
    <t>ctor-pc</t>
  </si>
  <si>
    <t>Engagement Score</t>
  </si>
  <si>
    <t>Traffic Light</t>
  </si>
  <si>
    <t>read-over-8s</t>
  </si>
  <si>
    <t>read-under-8s</t>
  </si>
  <si>
    <t>read-under-2s</t>
  </si>
  <si>
    <t>Litmus-tacking-id</t>
  </si>
  <si>
    <t>Abandoned  Cart MJOL</t>
  </si>
  <si>
    <t>Cbus</t>
  </si>
  <si>
    <t>Marketing</t>
  </si>
  <si>
    <t>Automated</t>
  </si>
  <si>
    <t xml:space="preserve">ALL BRANDS - WEBINAR - JUL 25 - Financial Literacy - Invite </t>
  </si>
  <si>
    <t>Event</t>
  </si>
  <si>
    <t>Direct Blast</t>
  </si>
  <si>
    <t>https://litmus.com/folders/324180/emails/18380262/analytics</t>
  </si>
  <si>
    <t>Media</t>
  </si>
  <si>
    <t>https://litmus.com/folders/358386/emails/18105943/analytics</t>
  </si>
  <si>
    <t>SPC - Unpaid Super</t>
  </si>
  <si>
    <t>PYS 12 Months</t>
  </si>
  <si>
    <t>Beneficiaries - Seg 1 -New member</t>
  </si>
  <si>
    <t>Beneficiaries [Seg 4 - Lapsed binding]</t>
  </si>
  <si>
    <t>12 Month Check in - 35+ Not Rolled in</t>
  </si>
  <si>
    <t>12 Month Check in - 35+ Rolled in</t>
  </si>
  <si>
    <t>12 Month Check in - 18-34 Not Rolled in</t>
  </si>
  <si>
    <t>Downsizer - 55 yrs</t>
  </si>
  <si>
    <t>Downsizer - 73 yrs</t>
  </si>
  <si>
    <t>PYS 9 Months</t>
  </si>
  <si>
    <t>PYS 15 Months</t>
  </si>
  <si>
    <t>https://litmus.com/folders/308698/emails/13915034/analytics</t>
  </si>
  <si>
    <t>Consolidation - 30 days</t>
  </si>
  <si>
    <t>Consolidation - 90 days</t>
  </si>
  <si>
    <t>Data Capture- Accum</t>
  </si>
  <si>
    <t>8 Month Tenure</t>
  </si>
  <si>
    <t>7 Month Tenure</t>
  </si>
  <si>
    <t xml:space="preserve">SEMINAR - AUG (TAS) Retirement Seminar &amp; webinars (CBUS &amp; MS) INVITE </t>
  </si>
  <si>
    <t>https://litmus.com/folders/324180/emails/18452986/analytics</t>
  </si>
  <si>
    <t>https://litmus.com/folders/324180/emails/18452988/analytics</t>
  </si>
  <si>
    <t>WEBINAR - JUL Transition to Retirement strategy (TTR) INVITE</t>
  </si>
  <si>
    <t>https://litmus.com/folders/324180/emails/18452760/analytics</t>
  </si>
  <si>
    <t>https://litmus.com/folders/324180/emails/18452759/analytics</t>
  </si>
  <si>
    <t>WEBINAR - WAG - JUL Super health check seminar INVITE</t>
  </si>
  <si>
    <t>https://litmus.com/folders/324180/emails/18300323/analytics</t>
  </si>
  <si>
    <t>https://litmus.com/folders/324180/emails/18300326/analytics</t>
  </si>
  <si>
    <t>SEMINAR - AUG (CAN) Retirement Seminar &amp; webinars (CBUS &amp; MS) INVITE</t>
  </si>
  <si>
    <t>https://litmus.com/folders/324180/emails/18485780/analytics</t>
  </si>
  <si>
    <t>https://litmus.com/folders/324180/emails/18485781/analytics</t>
  </si>
  <si>
    <t>EOFY Performance - Media</t>
  </si>
  <si>
    <t>EOFY Performance - Accum</t>
  </si>
  <si>
    <t>EOFY Performance - HNW</t>
  </si>
  <si>
    <t>https://litmus.com/folders/405552/emails/18364177/analytics</t>
  </si>
  <si>
    <t>EOFY Performance - SIS</t>
  </si>
  <si>
    <t>WEBINAR - WAG - JUL How much is enough? INVITE</t>
  </si>
  <si>
    <t>https://litmus.com/folders/324180/emails/18529297/analytics</t>
  </si>
  <si>
    <t>https://litmus.com/folders/324180/emails/18529296/analytics</t>
  </si>
  <si>
    <t>CBUS - Corporate insurance SEN (AME)</t>
  </si>
  <si>
    <t>Comms</t>
  </si>
  <si>
    <t>WEBINAR - JUL EOFY Investment Update INVITE</t>
  </si>
  <si>
    <t>https://litmus.com/folders/324180/emails/18619780/analytics</t>
  </si>
  <si>
    <t>https://litmus.com/folders/324180/emails/18619775/analytics</t>
  </si>
  <si>
    <t>SEMINAR - AUG (TAS) Retirement Seminar &amp; webinars (CBUS &amp; MS) REMINDER</t>
  </si>
  <si>
    <t>SEMINAR - AUG (CAN) Retirement Seminar &amp; webinars (CBUS &amp; MS) REMINDER</t>
  </si>
  <si>
    <t>WEBINAR - WAG - AUG Choosing the right investment option INVITE</t>
  </si>
  <si>
    <t>https://litmus.com/folders/324180/emails/18679502/analytics</t>
  </si>
  <si>
    <t>https://litmus.com/folders/324180/emails/18679501/analytics</t>
  </si>
  <si>
    <t>6 Month Tenure</t>
  </si>
  <si>
    <t>EOFY investment performance campaign (Microsoft Accum)Week 1</t>
  </si>
  <si>
    <t>https://litmus.com/folders/405552/emails/18192937/analytics</t>
  </si>
  <si>
    <t>EOFY investment performance campaign (Microsoft Accum)Week 2</t>
  </si>
  <si>
    <t>EOFY investment performance campaign (Microsoft Accum)Week 3</t>
  </si>
  <si>
    <t>SEMINAR - SEP (VIC Mornington) Retirement Seminar &amp; webinars Invite</t>
  </si>
  <si>
    <t>https://litmus.com/folders/324180/emails/18752012/analytics</t>
  </si>
  <si>
    <t>https://litmus.com/folders/366549/emails/18664429/analytics</t>
  </si>
  <si>
    <t>WEBINAR - WAG - AUG Super health check seminar INVITE</t>
  </si>
  <si>
    <t>https://litmus.com/folders/358386/emails/18527135/analytics</t>
  </si>
  <si>
    <t>https://litmus.com/folders/324180/emails/18752356/analytics</t>
  </si>
  <si>
    <t xml:space="preserve">SEMINAR - SEP (VIC) Retirement Info Forum (RIF) (CBUS) INVITE </t>
  </si>
  <si>
    <t>https://litmus.com/folders/366549/emails/18737825/analytics</t>
  </si>
  <si>
    <t>WEBINAR - WAG - AUG Financial Literacy INVITE</t>
  </si>
  <si>
    <t>https://litmus.com/folders/324180/emails/18823362/analytics</t>
  </si>
  <si>
    <t>https://litmus.com/folders/324180/emails/18823361/analytics</t>
  </si>
  <si>
    <t>SEMINAR - SEP (VIC Doncaster) Retirement Seminar &amp; webinars (CBUS &amp; MS) INVITE</t>
  </si>
  <si>
    <t>https://litmus.com/folders/324180/emails/18892611/analytics</t>
  </si>
  <si>
    <t>https://litmus.com/folders/324180/emails/18892607/analytics</t>
  </si>
  <si>
    <t>Cbus Advocacy Research Survey</t>
  </si>
  <si>
    <t>Other</t>
  </si>
  <si>
    <t>https://litmus.com/folders/421343/emails/18865528/analytics</t>
  </si>
  <si>
    <t>SEMINAR - SEP (VIC Mornington) Retirement Seminar &amp; webinars (CBUS &amp; MS) REMINDER</t>
  </si>
  <si>
    <t>WEBINAR - WAG - SEP Discover your insurance options within super (CBUS only)</t>
  </si>
  <si>
    <t>https://litmus.com/folders/324180/emails/18965907/analytics</t>
  </si>
  <si>
    <t>EOFY investment performance campaign (Microsoft Media)</t>
  </si>
  <si>
    <t>EOFY investment performance campaign (Microsoft HNW)</t>
  </si>
  <si>
    <t>EOFY investment performance campaign (Microsoft SIS)</t>
  </si>
  <si>
    <t>SIS Acquisition Sept 2025 - Segment 1 - Cbus</t>
  </si>
  <si>
    <t>https://litmus.com/folders/418112/emails/18808546/analytics</t>
  </si>
  <si>
    <t>SIS Acquisition Sept 2025 - Segment 1 - Media</t>
  </si>
  <si>
    <t>https://litmus.com/folders/418112/emails/18807835/analytics</t>
  </si>
  <si>
    <t>SIS Acquisition Sept 2025 - Segment 2 - Cbus</t>
  </si>
  <si>
    <t>https://litmus.com/folders/418112/emails/18808545/analytics</t>
  </si>
  <si>
    <t>SIS Acquisition Sept 2025 - Segment 2 - Media</t>
  </si>
  <si>
    <t>https://litmus.com/folders/418112/emails/18808822/analytics</t>
  </si>
  <si>
    <t>SIS Acquisition Sept 2025 - Segment 3 - Cbus B</t>
  </si>
  <si>
    <t>https://litmus.com/folders/418112/emails/18808542/analytics</t>
  </si>
  <si>
    <t>SIS Acquisition Sept 2025 - Segment 3 - Cbus A</t>
  </si>
  <si>
    <t>https://litmus.com/folders/418112/emails/18808544/analytics</t>
  </si>
  <si>
    <t>SIS Acquisition Sept 2025 - Segment 3 - Media</t>
  </si>
  <si>
    <t>https://litmus.com/folders/418112/emails/18808813/analytics</t>
  </si>
  <si>
    <t>SIS Acquisition Sept 2025 - Segment 4  - Cbus</t>
  </si>
  <si>
    <t>https://litmus.com/folders/418112/emails/18808537/analytics</t>
  </si>
  <si>
    <t>SIS Acquisition Sept 2025 - Segment 4  - Media</t>
  </si>
  <si>
    <t>https://litmus.com/folders/418112/emails/18808809/analytics</t>
  </si>
  <si>
    <t xml:space="preserve">Beneficiaries - Seg 1 -New member </t>
  </si>
  <si>
    <t xml:space="preserve">Consolidation - 30 days </t>
  </si>
  <si>
    <t xml:space="preserve">Consolidation - 90 days </t>
  </si>
  <si>
    <t>Data Capture - Accum -  [Pre 15 Sept 2025]</t>
  </si>
  <si>
    <t>Data Capture- Accum -  [Pre 15 Sept 2025]</t>
  </si>
  <si>
    <t>6 Month Tenure [Pre 17 Sept 2025]</t>
  </si>
  <si>
    <t>6 Month Tenure [Pre 17 Sep 2025]</t>
  </si>
  <si>
    <t>News Sep - SIS Fully Ret.</t>
  </si>
  <si>
    <t>https://litmus.com/folders/419116/emails/18877286/analytics</t>
  </si>
  <si>
    <t>News Sep - TTR</t>
  </si>
  <si>
    <t>https://litmus.com/folders/419116/emails/18877194/analytics</t>
  </si>
  <si>
    <t>SEMINAR - SEP (VIC) Retirement Info Forum (RIF) (CBUS) REMINDER</t>
  </si>
  <si>
    <t>WEBINAR - WAG - SEP Discover your insurance option within super (MEDIA only)</t>
  </si>
  <si>
    <t>https://litmus.com/folders/324180/emails/19029860/analytics</t>
  </si>
  <si>
    <t>News Sep- MS</t>
  </si>
  <si>
    <t>https://litmus.com/folders/419116/emails/18956115/analytics</t>
  </si>
  <si>
    <t>SEMINAR - OCT (VIC Geelong) Retirement Seminar &amp; webinars (CBUS &amp; MS) INVITE</t>
  </si>
  <si>
    <t>https://litmus.com/folders/324180/emails/19043996/analytics</t>
  </si>
  <si>
    <t>https://litmus.com/folders/324180/emails/19043995/analytics</t>
  </si>
  <si>
    <t xml:space="preserve">News Sep - Accum3 - Approaching or in retirement </t>
  </si>
  <si>
    <t>https://litmus.com/folders/419116/emails/18877130/analytics</t>
  </si>
  <si>
    <t>News Sep - Accum1 - Starting out</t>
  </si>
  <si>
    <t>https://litmus.com/folders/419116/emails/18808667/analytics</t>
  </si>
  <si>
    <t>News Sep - Accum2- Working</t>
  </si>
  <si>
    <t>https://litmus.com/folders/419116/emails/18877094/analytics</t>
  </si>
  <si>
    <t>Cbus Advocacy Research Survey - Reminder1</t>
  </si>
  <si>
    <t>https://litmus.com/folders/420447/emails/19021328/analytics</t>
  </si>
  <si>
    <t>News Sep - Accum3 - Approaching or in retirement  (Microsoft)</t>
  </si>
  <si>
    <t>News Sep - Accum1 - Starting out (Microsoft)</t>
  </si>
  <si>
    <t>News Sep - Accum2- Working (Microsoft)</t>
  </si>
  <si>
    <t>SEMINAR - SEP (VIC Doncaster) Retirement Seminar &amp; webinars (CBUS &amp; MS) REMINDER</t>
  </si>
  <si>
    <t>Cbus Advocacy Research Survey - Reminder2</t>
  </si>
  <si>
    <t>https://litmus.com/folders/420447/emails/19098417/analytics</t>
  </si>
  <si>
    <t>Data Capture - Accum -  [Post 15 Sept 2025]</t>
  </si>
  <si>
    <t>Data Capture- Accum - [Post 15 Sept 2025]</t>
  </si>
  <si>
    <t>News Sep - MS Audience update</t>
  </si>
  <si>
    <t>USM (Unclaim Super Money)</t>
  </si>
  <si>
    <t>https://litmus.com/folders/420731/emails/18878857/analytics</t>
  </si>
  <si>
    <t>https://litmus.com/folders/420731/emails/18878858/analytics</t>
  </si>
  <si>
    <t>6 Month Tenure [Post 17 Sep2025]</t>
  </si>
  <si>
    <t>6 Month Tenure [Post 17 Sept 2025]</t>
  </si>
  <si>
    <t>Cbus - 2025 Statements - SIS</t>
  </si>
  <si>
    <t>https://litmus.com/folders/416254/emails/19097350/analytics</t>
  </si>
  <si>
    <t xml:space="preserve">Cbus - 2025 Statements - SIS - Microsoft </t>
  </si>
  <si>
    <t>Age Pension - 57 Years [Pre 25 Sep 2025]</t>
  </si>
  <si>
    <t>https://litmus.com/folders/372742/emails/16700910/analytics</t>
  </si>
  <si>
    <t>Age Pension - 66 Years [Pre 25 Sep 2025]</t>
  </si>
  <si>
    <t>Age Pension - 67 Years Pre 25 Sep 2025]</t>
  </si>
  <si>
    <t>Age Pension - 68 Years [Pre 25 Sep 2025]</t>
  </si>
  <si>
    <t xml:space="preserve">WEBINAR - OCT 25 - Super Health Check seminar </t>
  </si>
  <si>
    <t>https://litmus.com/folders/358386/emails/19028939/analytics</t>
  </si>
  <si>
    <t>https://litmus.com/folders/324180/emails/19332991/analytics</t>
  </si>
  <si>
    <t>Beneficiaries - Seg 1 - New member</t>
  </si>
  <si>
    <t>ALL BRANDS - WEBINAR - OCT 25 - NSW Retirement seminars &amp; webinars - Invite</t>
  </si>
  <si>
    <t>https://litmus.com/folders/366549/emails/19127170/analytics</t>
  </si>
  <si>
    <t>https://litmus.com/folders/324180/emails/19371176/analytics</t>
  </si>
  <si>
    <t xml:space="preserve">ALL BRANDS - WEBINAR - OCT 25 - Financial Literacy V2 
</t>
  </si>
  <si>
    <t>https://litmus.com/folders/324180/emails/19386461/analytics</t>
  </si>
  <si>
    <t>https://litmus.com/folders/324180/emails/19386462/analytics</t>
  </si>
  <si>
    <t>Wednesday, 1 October 2025</t>
  </si>
  <si>
    <t>🔴</t>
  </si>
  <si>
    <t>🟡</t>
  </si>
  <si>
    <t> </t>
  </si>
  <si>
    <t>Consolidation - 90 days (24-Oct End)</t>
  </si>
  <si>
    <t>Consolidation - 30 days  (24-Oct End)</t>
  </si>
  <si>
    <t>Consolidation - 90 days  (24-Oct End)</t>
  </si>
  <si>
    <t>6 Month Tenure (25 Oct End)</t>
  </si>
  <si>
    <t xml:space="preserve">Age Pension - 68 Years </t>
  </si>
  <si>
    <t>Age Pension - 67 Years</t>
  </si>
  <si>
    <t>Age Pension - 66 Years</t>
  </si>
  <si>
    <t>Age Pension - 57 Years</t>
  </si>
  <si>
    <t>Friday, 3 October 2025</t>
  </si>
  <si>
    <t>ALL BRANDS - WEBINAR - OCT 25 - Financial Literacy V2</t>
  </si>
  <si>
    <t>Monday, 6 October 2025</t>
  </si>
  <si>
    <t>Annual Member meeting (Tranche 1)</t>
  </si>
  <si>
    <t>Tuesday, 14 October 2025</t>
  </si>
  <si>
    <t>SEMINAR - NOV (NSW) Retirement Information Forum (RIF) INVITE</t>
  </si>
  <si>
    <t>Monday, 20 October 2025</t>
  </si>
  <si>
    <t>SEMINAR - NOV (NSW V1) Retirement Seminar &amp; webinars (CBUS &amp; MS) INVITE + SMS</t>
  </si>
  <si>
    <t>WEBINAR - WAG - OCT Boost your super INVITE</t>
  </si>
  <si>
    <t>Tuesday, 21 October 2025</t>
  </si>
  <si>
    <t>Advice Needs research- MEDIA 35s+</t>
  </si>
  <si>
    <t>Thursday, October 23, 2025</t>
  </si>
  <si>
    <t>Advice Needs research- Cbus- 34 and under</t>
  </si>
  <si>
    <t>Advice Needs research- Cbus 35 and over</t>
  </si>
  <si>
    <t>Thursday, October 27, 2025</t>
  </si>
  <si>
    <t>Scam awareness - Media</t>
  </si>
  <si>
    <t>Friday, October 24, 2025</t>
  </si>
  <si>
    <t>Scam awareness - Cbus</t>
  </si>
  <si>
    <t>WEBINAR - WAG - NOV Super health check seminar INVITE - MS</t>
  </si>
  <si>
    <t>Tuesday, October 28, 2025</t>
  </si>
  <si>
    <t>WEBINAR - WAG - NOV Super health check seminar INVITE - Cbus</t>
  </si>
  <si>
    <t>SEMINAR - NOV (NSW V2) Retirement Seminar &amp; webinars (CBUS &amp; MS) INVITE + SMS</t>
  </si>
  <si>
    <t>Cbus - 2025 Statements - NON RIE - B Version 1.0</t>
  </si>
  <si>
    <t>Tuesday, October 7, 2025</t>
  </si>
  <si>
    <t>https://litmus.com/folders/416254/emails/19189222/analytics</t>
  </si>
  <si>
    <t>Cbus - 2025 Statements - NON RIE - A Version 1.0</t>
  </si>
  <si>
    <t>Cbus - 2025 Statements - RIE - C Version 1.0</t>
  </si>
  <si>
    <t>Cbus - 2025 Statements - RIE - A Version 1.0</t>
  </si>
  <si>
    <t>Cbus - 2025 Statements - RIE - B Version 1.0</t>
  </si>
  <si>
    <t>Cbus - 2025 Statements - RIE - C - Microsoft Version 1.0</t>
  </si>
  <si>
    <t>Cbus - 2025 Statements - RIE - B - Microsoft Version 1.0</t>
  </si>
  <si>
    <t>Tuesday, October 7, 2026</t>
  </si>
  <si>
    <t>Cbus - 2025 Statements - RIE - A - Microsoft Version 1.0</t>
  </si>
  <si>
    <t>Cbus - 2025 Statements - NON RIE - B - Microsoft Version 1.0</t>
  </si>
  <si>
    <t>Cbus - 2025 Statements - NON RIE - A - Microsoft Version 1.0</t>
  </si>
  <si>
    <t>Media - 2025 Statements - RIE Version 1.0</t>
  </si>
  <si>
    <t>https://litmus.com/folders/429312/emails/19314145/analytics</t>
  </si>
  <si>
    <t>Media - 2025 Statements - NON RIE Version 1.0</t>
  </si>
  <si>
    <t>Cbus - 2025 Statements - SIS - Wave 2 Version 1.0</t>
  </si>
  <si>
    <t>Tuesday, October 23, 2026</t>
  </si>
  <si>
    <t>Media - 2025 Statements - Wave 2 Version 1.0</t>
  </si>
  <si>
    <t>Cbus - 2025 Statements - DB Version 1.0</t>
  </si>
  <si>
    <t>Tuesday, October 16, 2027</t>
  </si>
  <si>
    <t>https://litmus.com/folders/416254/emails/19414929/analytics</t>
  </si>
  <si>
    <t>Beneficiaries - Seg 1 - New member (28-Nov End)</t>
  </si>
  <si>
    <t>Beneficiaries - Seg 1 -New member  (28-Nov End)</t>
  </si>
  <si>
    <t>PYS 9 Months (20-Nov End)</t>
  </si>
  <si>
    <t xml:space="preserve">PYS 9 Months (20-Nov End) </t>
  </si>
  <si>
    <t xml:space="preserve">PYS 15 Months (20-Nov End) </t>
  </si>
  <si>
    <t>Day 3 Welcome (20-Nov Start)</t>
  </si>
  <si>
    <t>NSW Retirement seminars &amp; webinars - REMINDER</t>
  </si>
  <si>
    <t>Advice Needs research- MEDIA 35s+ Reminder</t>
  </si>
  <si>
    <t>Advice Needs research- Cbus- 34 and under Reminder</t>
  </si>
  <si>
    <t>Advice Needs research- Cbus 35 and overReminder</t>
  </si>
  <si>
    <t>YC Investment Basics [30-34]</t>
  </si>
  <si>
    <t>https://litmus.com/analytics?search=basic&amp;days=60</t>
  </si>
  <si>
    <t>YC Investment Basics[25-29]</t>
  </si>
  <si>
    <t>YC Investment Basics [20-24]</t>
  </si>
  <si>
    <t>YC Investment Basics [15-19]</t>
  </si>
  <si>
    <t>WEBINAR - NOV 25 - NSW RIF - group 2 - Invite</t>
  </si>
  <si>
    <t>Quarterly Investment Perf Update - HNW - B</t>
  </si>
  <si>
    <t>https://litmus.com/folders/438568/emails/19637767/analytics</t>
  </si>
  <si>
    <t>Quarterly Investment Perf Update - HNW - A</t>
  </si>
  <si>
    <t>https://litmus.com/folders/324180/emails/19788343/analytics</t>
  </si>
  <si>
    <t>WEBINAR - NOV 25 - V2 NSW Retirement seminars &amp; webinars - REMINDER</t>
  </si>
  <si>
    <t>https://litmus.com/folders/324180/emails/19623966/analytics</t>
  </si>
  <si>
    <t>https://litmus.com/folders/324180/emails/19623965/analytics</t>
  </si>
  <si>
    <t>WEBINAR - NOV 25 - ULTIMO Retirement seminars &amp; webinars</t>
  </si>
  <si>
    <t>https://litmus.com/folders/324180/emails/19869017/analytics</t>
  </si>
  <si>
    <t>https://litmus.com/folders/324180/emails/19869016/analytics</t>
  </si>
  <si>
    <t>SEN - Death Benefit Nov 25</t>
  </si>
  <si>
    <t>https://litmus.com/folders/440129/emails/19700152/analytics</t>
  </si>
  <si>
    <t>SEN - Death Benefit Nov 26</t>
  </si>
  <si>
    <t>https://litmus.com/folders/440129/emails/19699239/analytics</t>
  </si>
  <si>
    <t>Cbus - 2025 Statements - RS</t>
  </si>
  <si>
    <t>Email - Cbus - 2025 Statements - 1.eDM [RIE - C]</t>
  </si>
  <si>
    <t>Email - Cbus - 2025 Statements - 1.eDM [RIE - A]</t>
  </si>
  <si>
    <t>Email - Cbus - 2025 Statements - 1.eDM [RIE - B]</t>
  </si>
  <si>
    <t>Email - Cbus - 2025 Statements - 1.eDM [NON RIE - B]</t>
  </si>
  <si>
    <t>Email - Cbus - 2025 Statements - 1.eDM [NON RIE - A]</t>
  </si>
  <si>
    <t>Email - Media - 2025 Statements - 1.eDM [RIE]</t>
  </si>
  <si>
    <t>Email - Media - 2025 Statements - 1.eDM [NON RIE]</t>
  </si>
  <si>
    <t>Email - Media - 2025 Statements - 1.eDM [NON - RIE]</t>
  </si>
  <si>
    <t>Statements 2025 - Defined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</si>
</sst>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9">
    <font>
      <sz val="12"/>
      <color theme="1"/>
      <name val="Aptos Narrow"/>
      <family val="2"/>
      <scheme val="minor"/>
    </font>
    <font>
      <u/>
      <sz val="12"/>
      <color theme="10"/>
      <name val="Aptos Narrow"/>
      <family val="2"/>
      <scheme val="minor"/>
    </font>
    <font>
      <sz val="12"/>
      <color rgb="FF000000"/>
      <name val="Aptos Narrow"/>
      <family val="2"/>
    </font>
    <font>
      <sz val="11"/>
      <color theme="1" tint="0.14993743705557422"/>
      <name val="Aptos Narrow"/>
      <family val="2"/>
      <scheme val="minor"/>
    </font>
    <font>
      <sz val="11"/>
      <color theme="1"/>
      <name val="Arial"/>
      <family val="2"/>
    </font>
    <font>
      <b/>
      <sz val="11"/>
      <color rgb="FF000000"/>
      <name val="Arial"/>
      <family val="2"/>
    </font>
    <font>
      <sz val="11"/>
      <color rgb="FF000000"/>
      <name val="Arial"/>
      <family val="2"/>
    </font>
    <font>
      <b/>
      <sz val="11"/>
      <color theme="1" tint="0.499984740745262"/>
      <name val="Arial"/>
      <family val="2"/>
    </font>
    <font>
      <sz val="11"/>
      <color theme="1" tint="0.499984740745262"/>
      <name val="Arial"/>
      <family val="2"/>
    </font>
    <font>
      <sz val="10"/>
      <color rgb="FF000000"/>
      <name val="Tahoma"/>
      <family val="2"/>
    </font>
    <font>
      <b/>
      <sz val="10"/>
      <color rgb="FF000000"/>
      <name val="Tahoma"/>
      <family val="2"/>
    </font>
    <font>
      <b/>
      <sz val="11"/>
      <color theme="5"/>
      <name val="Arial"/>
      <family val="2"/>
    </font>
    <font>
      <sz val="12"/>
      <color rgb="FF000000"/>
      <name val="Aptos Narrow"/>
      <family val="2"/>
      <scheme val="minor"/>
    </font>
    <font>
      <u/>
      <sz val="12"/>
      <color theme="10"/>
      <name val="Arial"/>
    </font>
    <font>
      <sz val="10"/>
      <color rgb="FF000000"/>
      <name val="Arial"/>
    </font>
    <font>
      <u/>
      <sz val="10"/>
      <color theme="10"/>
      <name val="Arial"/>
    </font>
    <font>
      <u/>
      <sz val="10"/>
      <color theme="10"/>
      <name val="Aptos Narrow"/>
      <family val="2"/>
      <scheme val="minor"/>
    </font>
    <font>
      <sz val="10"/>
      <color rgb="FF000000"/>
      <name val="Aptos Narrow"/>
      <family val="2"/>
    </font>
    <font>
      <sz val="10"/>
      <color theme="1"/>
      <name val="Arial"/>
    </font>
  </fonts>
  <fills count="3">
    <fill>
      <patternFill patternType="none"/>
    </fill>
    <fill>
      <patternFill patternType="gray125"/>
    </fill>
    <fill>
      <patternFill patternType="solid">
        <fgColor theme="0" tint="-0.14999847407452621"/>
        <bgColor theme="0" tint="-0.14999847407452621"/>
      </patternFill>
    </fill>
  </fills>
  <borders count="20">
    <border>
      <left/>
      <right/>
      <top/>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style="thin">
        <color theme="1" tint="0.34998626667073579"/>
      </bottom>
      <diagonal/>
    </border>
    <border>
      <left style="thin">
        <color theme="2"/>
      </left>
      <right style="thin">
        <color theme="2"/>
      </right>
      <top/>
      <bottom style="thin">
        <color theme="2"/>
      </bottom>
      <diagonal/>
    </border>
    <border>
      <left/>
      <right style="thin">
        <color theme="2"/>
      </right>
      <top/>
      <bottom style="thin">
        <color theme="2"/>
      </bottom>
      <diagonal/>
    </border>
    <border>
      <left style="thin">
        <color theme="2"/>
      </left>
      <right/>
      <top/>
      <bottom style="thin">
        <color theme="2"/>
      </bottom>
      <diagonal/>
    </border>
    <border>
      <left style="thin">
        <color theme="2"/>
      </left>
      <right/>
      <top style="thin">
        <color theme="2"/>
      </top>
      <bottom style="thin">
        <color theme="2"/>
      </bottom>
      <diagonal/>
    </border>
    <border>
      <left/>
      <right style="thin">
        <color theme="2"/>
      </right>
      <top/>
      <bottom style="thin">
        <color theme="1" tint="0.34998626667073579"/>
      </bottom>
      <diagonal/>
    </border>
    <border>
      <left style="thin">
        <color theme="2"/>
      </left>
      <right style="thin">
        <color theme="2"/>
      </right>
      <top/>
      <bottom style="thin">
        <color theme="1" tint="0.34998626667073579"/>
      </bottom>
      <diagonal/>
    </border>
    <border>
      <left style="thin">
        <color theme="2"/>
      </left>
      <right/>
      <top/>
      <bottom style="thin">
        <color theme="1" tint="0.34998626667073579"/>
      </bottom>
      <diagonal/>
    </border>
    <border>
      <left/>
      <right style="thin">
        <color theme="2"/>
      </right>
      <top style="thin">
        <color theme="2"/>
      </top>
      <bottom/>
      <diagonal/>
    </border>
    <border>
      <left style="thin">
        <color theme="2"/>
      </left>
      <right style="thin">
        <color theme="2"/>
      </right>
      <top style="thin">
        <color theme="2"/>
      </top>
      <bottom/>
      <diagonal/>
    </border>
    <border>
      <left style="thin">
        <color theme="2"/>
      </left>
      <right/>
      <top style="thin">
        <color theme="2"/>
      </top>
      <bottom/>
      <diagonal/>
    </border>
    <border>
      <left style="thin">
        <color theme="2"/>
      </left>
      <right style="thin">
        <color theme="2"/>
      </right>
      <top/>
      <bottom/>
      <diagonal/>
    </border>
    <border>
      <left style="thin">
        <color theme="2"/>
      </left>
      <right/>
      <top/>
      <bottom/>
      <diagonal/>
    </border>
    <border>
      <left/>
      <right style="thin">
        <color theme="2"/>
      </right>
      <top style="thin">
        <color theme="2"/>
      </top>
      <bottom style="thin">
        <color theme="2"/>
      </bottom>
      <diagonal/>
    </border>
    <border>
      <left/>
      <right/>
      <top/>
      <bottom style="thin">
        <color theme="2"/>
      </bottom>
      <diagonal/>
    </border>
    <border>
      <left/>
      <right/>
      <top style="thin">
        <color theme="2"/>
      </top>
      <bottom/>
      <diagonal/>
    </border>
    <border>
      <left/>
      <right/>
      <top style="thin">
        <color theme="2"/>
      </top>
      <bottom style="thin">
        <color theme="2"/>
      </bottom>
      <diagonal/>
    </border>
    <border>
      <left/>
      <right/>
      <top/>
      <bottom style="thin">
        <color theme="1" tint="0.34998626667073579"/>
      </bottom>
      <diagonal/>
    </border>
  </borders>
  <cellStyleXfs count="4">
    <xf numFmtId="0" fontId="0" fillId="0" borderId="0"/>
    <xf numFmtId="0" fontId="1" fillId="0" borderId="0" applyNumberFormat="0" applyFill="0" applyBorder="0" applyAlignment="0" applyProtection="0"/>
    <xf numFmtId="14" fontId="3" fillId="0" borderId="0">
      <alignment horizontal="right" vertical="center" indent="2"/>
    </xf>
    <xf numFmtId="0" fontId="3" fillId="0" borderId="0"/>
  </cellStyleXfs>
  <cellXfs count="152">
    <xf numFmtId="0" fontId="0" fillId="0" borderId="0" xfId="0"/>
    <xf numFmtId="0" fontId="5" fillId="0" borderId="8" xfId="0" applyFont="1" applyBorder="1" applyAlignment="1">
      <alignment horizontal="center" vertical="center" indent="1"/>
    </xf>
    <xf numFmtId="0" fontId="5" fillId="0" borderId="8" xfId="0" applyFont="1" applyBorder="1" applyAlignment="1">
      <alignment horizontal="right" vertical="center"/>
    </xf>
    <xf numFmtId="0" fontId="7" fillId="0" borderId="8" xfId="0" applyFont="1" applyBorder="1" applyAlignment="1">
      <alignment horizontal="right" vertical="center"/>
    </xf>
    <xf numFmtId="0" fontId="4" fillId="0" borderId="2" xfId="0" applyFont="1" applyBorder="1"/>
    <xf numFmtId="3" fontId="6" fillId="0" borderId="3" xfId="0" applyNumberFormat="1" applyFont="1" applyBorder="1" applyAlignment="1">
      <alignment vertical="center"/>
    </xf>
    <xf numFmtId="3" fontId="8" fillId="0" borderId="3" xfId="0" applyNumberFormat="1" applyFont="1" applyBorder="1" applyAlignment="1">
      <alignment vertical="center"/>
    </xf>
    <xf numFmtId="0" fontId="6" fillId="0" borderId="3" xfId="0" applyFont="1" applyBorder="1" applyAlignment="1">
      <alignment vertical="center"/>
    </xf>
    <xf numFmtId="0" fontId="4" fillId="0" borderId="3" xfId="0" applyFont="1" applyBorder="1"/>
    <xf numFmtId="3" fontId="6" fillId="0" borderId="1" xfId="0" applyNumberFormat="1" applyFont="1" applyBorder="1" applyAlignment="1">
      <alignment vertical="center"/>
    </xf>
    <xf numFmtId="2" fontId="6" fillId="0" borderId="1" xfId="0" applyNumberFormat="1" applyFont="1" applyBorder="1" applyAlignment="1">
      <alignment vertical="center"/>
    </xf>
    <xf numFmtId="0" fontId="6" fillId="0" borderId="1" xfId="0" applyFont="1" applyBorder="1" applyAlignment="1">
      <alignment vertical="center"/>
    </xf>
    <xf numFmtId="0" fontId="4" fillId="0" borderId="1" xfId="0" applyFont="1" applyBorder="1"/>
    <xf numFmtId="3" fontId="6" fillId="0" borderId="11" xfId="0" applyNumberFormat="1" applyFont="1" applyBorder="1" applyAlignment="1">
      <alignment vertical="center"/>
    </xf>
    <xf numFmtId="2" fontId="6" fillId="0" borderId="11" xfId="0" applyNumberFormat="1" applyFont="1" applyBorder="1" applyAlignment="1">
      <alignment vertical="center"/>
    </xf>
    <xf numFmtId="0" fontId="6" fillId="0" borderId="11" xfId="0" applyFont="1" applyBorder="1" applyAlignment="1">
      <alignment horizontal="center" vertical="center" indent="2"/>
    </xf>
    <xf numFmtId="0" fontId="6" fillId="0" borderId="11" xfId="0" applyFont="1" applyBorder="1" applyAlignment="1">
      <alignment vertical="center"/>
    </xf>
    <xf numFmtId="0" fontId="4" fillId="0" borderId="1" xfId="0" applyFont="1" applyBorder="1" applyAlignment="1">
      <alignment horizontal="center" indent="1"/>
    </xf>
    <xf numFmtId="2" fontId="4" fillId="0" borderId="1" xfId="0" applyNumberFormat="1" applyFont="1" applyBorder="1"/>
    <xf numFmtId="0" fontId="6" fillId="0" borderId="3" xfId="0" applyFont="1" applyBorder="1" applyAlignment="1">
      <alignment horizontal="center" vertical="center" indent="1"/>
    </xf>
    <xf numFmtId="0" fontId="6" fillId="0" borderId="1" xfId="0" applyFont="1" applyBorder="1" applyAlignment="1">
      <alignment horizontal="center" vertical="center" indent="2"/>
    </xf>
    <xf numFmtId="3" fontId="8" fillId="0" borderId="13" xfId="0" applyNumberFormat="1" applyFont="1" applyBorder="1" applyAlignment="1">
      <alignment vertical="center"/>
    </xf>
    <xf numFmtId="1" fontId="5" fillId="0" borderId="8" xfId="0" applyNumberFormat="1" applyFont="1" applyBorder="1" applyAlignment="1">
      <alignment horizontal="right" vertical="center"/>
    </xf>
    <xf numFmtId="1" fontId="6" fillId="0" borderId="3" xfId="0" applyNumberFormat="1" applyFont="1" applyBorder="1" applyAlignment="1">
      <alignment vertical="center"/>
    </xf>
    <xf numFmtId="1" fontId="6" fillId="0" borderId="11" xfId="0" applyNumberFormat="1" applyFont="1" applyBorder="1" applyAlignment="1">
      <alignment vertical="center"/>
    </xf>
    <xf numFmtId="1" fontId="6" fillId="0" borderId="1" xfId="0" applyNumberFormat="1" applyFont="1" applyBorder="1" applyAlignment="1">
      <alignment vertical="center"/>
    </xf>
    <xf numFmtId="1" fontId="5" fillId="0" borderId="9" xfId="0" applyNumberFormat="1" applyFont="1" applyBorder="1" applyAlignment="1">
      <alignment horizontal="right" vertical="center"/>
    </xf>
    <xf numFmtId="1" fontId="6" fillId="0" borderId="5" xfId="0" applyNumberFormat="1" applyFont="1" applyBorder="1" applyAlignment="1">
      <alignment vertical="center"/>
    </xf>
    <xf numFmtId="1" fontId="6" fillId="0" borderId="12" xfId="0" applyNumberFormat="1" applyFont="1" applyBorder="1" applyAlignment="1">
      <alignment vertical="center"/>
    </xf>
    <xf numFmtId="1" fontId="6" fillId="0" borderId="6" xfId="0" applyNumberFormat="1" applyFont="1" applyBorder="1" applyAlignment="1">
      <alignment vertical="center"/>
    </xf>
    <xf numFmtId="2" fontId="7" fillId="0" borderId="9" xfId="0" applyNumberFormat="1" applyFont="1" applyBorder="1" applyAlignment="1">
      <alignment horizontal="right" vertical="center"/>
    </xf>
    <xf numFmtId="2" fontId="8" fillId="0" borderId="5" xfId="0" applyNumberFormat="1" applyFont="1" applyBorder="1" applyAlignment="1">
      <alignment vertical="center"/>
    </xf>
    <xf numFmtId="2" fontId="8" fillId="0" borderId="1" xfId="0" applyNumberFormat="1" applyFont="1" applyBorder="1"/>
    <xf numFmtId="2" fontId="7" fillId="0" borderId="8" xfId="0" applyNumberFormat="1" applyFont="1" applyBorder="1" applyAlignment="1">
      <alignment horizontal="right" vertical="center"/>
    </xf>
    <xf numFmtId="2" fontId="8" fillId="0" borderId="3" xfId="0" applyNumberFormat="1" applyFont="1" applyBorder="1" applyAlignment="1">
      <alignment vertical="center"/>
    </xf>
    <xf numFmtId="2" fontId="8" fillId="0" borderId="11" xfId="0" applyNumberFormat="1" applyFont="1" applyBorder="1" applyAlignment="1">
      <alignment vertical="center"/>
    </xf>
    <xf numFmtId="2" fontId="8" fillId="0" borderId="1" xfId="0" applyNumberFormat="1" applyFont="1" applyBorder="1" applyAlignment="1">
      <alignment vertical="center"/>
    </xf>
    <xf numFmtId="2" fontId="8" fillId="0" borderId="14" xfId="0" applyNumberFormat="1" applyFont="1" applyBorder="1" applyAlignment="1">
      <alignment vertical="center"/>
    </xf>
    <xf numFmtId="0" fontId="6" fillId="0" borderId="11" xfId="0" applyFont="1" applyBorder="1" applyAlignment="1">
      <alignment horizontal="center" vertical="center" indent="3"/>
    </xf>
    <xf numFmtId="3" fontId="8" fillId="0" borderId="1" xfId="0" applyNumberFormat="1" applyFont="1" applyBorder="1" applyAlignment="1">
      <alignment vertical="center"/>
    </xf>
    <xf numFmtId="2" fontId="8" fillId="0" borderId="6" xfId="0" applyNumberFormat="1" applyFont="1" applyBorder="1" applyAlignment="1">
      <alignment vertical="center"/>
    </xf>
    <xf numFmtId="0" fontId="6" fillId="0" borderId="1" xfId="0" applyFont="1" applyBorder="1" applyAlignment="1">
      <alignment horizontal="center" vertical="center" indent="3"/>
    </xf>
    <xf numFmtId="0" fontId="6" fillId="0" borderId="1" xfId="0" applyFont="1" applyBorder="1"/>
    <xf numFmtId="1" fontId="12" fillId="0" borderId="0" xfId="0" applyNumberFormat="1" applyFont="1"/>
    <xf numFmtId="3" fontId="8" fillId="0" borderId="11" xfId="0" applyNumberFormat="1" applyFont="1" applyBorder="1" applyAlignment="1">
      <alignment vertical="center"/>
    </xf>
    <xf numFmtId="2" fontId="8" fillId="0" borderId="12" xfId="0" applyNumberFormat="1" applyFont="1" applyBorder="1" applyAlignment="1">
      <alignment vertical="center"/>
    </xf>
    <xf numFmtId="0" fontId="6" fillId="0" borderId="1" xfId="0" applyFont="1" applyBorder="1" applyAlignment="1">
      <alignment horizontal="center" vertical="center" indent="4"/>
    </xf>
    <xf numFmtId="0" fontId="6" fillId="0" borderId="11" xfId="0" applyFont="1" applyBorder="1" applyAlignment="1">
      <alignment horizontal="center" vertical="center" indent="4"/>
    </xf>
    <xf numFmtId="0" fontId="6" fillId="0" borderId="1" xfId="0" applyFont="1" applyBorder="1" applyAlignment="1">
      <alignment horizontal="center" vertical="center" indent="5"/>
    </xf>
    <xf numFmtId="0" fontId="6" fillId="0" borderId="11" xfId="0" applyFont="1" applyBorder="1" applyAlignment="1">
      <alignment horizontal="center" vertical="center" indent="5"/>
    </xf>
    <xf numFmtId="2" fontId="8" fillId="0" borderId="5" xfId="0" applyNumberFormat="1" applyFont="1" applyBorder="1" applyAlignment="1">
      <alignment vertical="center" wrapText="1"/>
    </xf>
    <xf numFmtId="0" fontId="5" fillId="0" borderId="19" xfId="0" applyFont="1" applyBorder="1" applyAlignment="1">
      <alignment horizontal="right" vertical="center"/>
    </xf>
    <xf numFmtId="0" fontId="6" fillId="0" borderId="3" xfId="0" applyFont="1" applyBorder="1" applyAlignment="1">
      <alignment horizontal="center" vertical="center" indent="2"/>
    </xf>
    <xf numFmtId="0" fontId="6" fillId="0" borderId="11" xfId="0" applyFont="1" applyBorder="1" applyAlignment="1">
      <alignment horizontal="center" vertical="center" indent="1"/>
    </xf>
    <xf numFmtId="0" fontId="6" fillId="0" borderId="1" xfId="0" applyFont="1" applyBorder="1" applyAlignment="1">
      <alignment horizontal="center" vertical="center" indent="1"/>
    </xf>
    <xf numFmtId="0" fontId="6" fillId="0" borderId="3" xfId="0" applyFont="1" applyBorder="1" applyAlignment="1">
      <alignment horizontal="center" vertical="center" indent="5"/>
    </xf>
    <xf numFmtId="0" fontId="6" fillId="0" borderId="11" xfId="0" applyFont="1" applyBorder="1"/>
    <xf numFmtId="1" fontId="12" fillId="0" borderId="11" xfId="0" applyNumberFormat="1" applyFont="1" applyBorder="1"/>
    <xf numFmtId="1" fontId="6" fillId="0" borderId="0" xfId="0" applyNumberFormat="1" applyFont="1" applyAlignment="1">
      <alignment vertical="center"/>
    </xf>
    <xf numFmtId="1" fontId="12" fillId="0" borderId="12" xfId="0" applyNumberFormat="1" applyFont="1" applyBorder="1"/>
    <xf numFmtId="0" fontId="6" fillId="0" borderId="0" xfId="0" applyFont="1" applyAlignment="1">
      <alignment vertical="center"/>
    </xf>
    <xf numFmtId="0" fontId="6" fillId="0" borderId="3" xfId="0" applyFont="1" applyBorder="1" applyAlignment="1">
      <alignment horizontal="center" vertical="center" indent="4"/>
    </xf>
    <xf numFmtId="0" fontId="6" fillId="0" borderId="3" xfId="0" applyFont="1" applyBorder="1" applyAlignment="1">
      <alignment horizontal="center" vertical="center" indent="3"/>
    </xf>
    <xf numFmtId="2" fontId="8" fillId="0" borderId="0" xfId="0" applyNumberFormat="1" applyFont="1" applyAlignment="1">
      <alignment vertical="center"/>
    </xf>
    <xf numFmtId="0" fontId="6" fillId="0" borderId="0" xfId="1" applyFont="1" applyFill="1" applyBorder="1" applyAlignment="1">
      <alignment horizontal="left" vertical="center"/>
    </xf>
    <xf numFmtId="164" fontId="6" fillId="0" borderId="7" xfId="0" applyNumberFormat="1" applyFont="1" applyBorder="1" applyAlignment="1">
      <alignment horizontal="left" vertical="center"/>
    </xf>
    <xf numFmtId="164" fontId="6" fillId="0" borderId="4" xfId="1" applyNumberFormat="1" applyFont="1" applyBorder="1" applyAlignment="1">
      <alignment horizontal="left" vertical="center"/>
    </xf>
    <xf numFmtId="164" fontId="6" fillId="0" borderId="10" xfId="1" applyNumberFormat="1" applyFont="1" applyBorder="1" applyAlignment="1">
      <alignment horizontal="left" vertical="center"/>
    </xf>
    <xf numFmtId="164" fontId="6" fillId="0" borderId="15" xfId="1" applyNumberFormat="1" applyFont="1" applyBorder="1" applyAlignment="1">
      <alignment horizontal="left" vertical="center"/>
    </xf>
    <xf numFmtId="164" fontId="6" fillId="0" borderId="15" xfId="1" applyNumberFormat="1" applyFont="1" applyFill="1" applyBorder="1" applyAlignment="1">
      <alignment horizontal="left" vertical="center"/>
    </xf>
    <xf numFmtId="164" fontId="6" fillId="0" borderId="10" xfId="1" applyNumberFormat="1" applyFont="1" applyFill="1" applyBorder="1" applyAlignment="1">
      <alignment horizontal="left" vertical="center"/>
    </xf>
    <xf numFmtId="164" fontId="6" fillId="0" borderId="1" xfId="0" applyNumberFormat="1" applyFont="1" applyBorder="1" applyAlignment="1">
      <alignment horizontal="left"/>
    </xf>
    <xf numFmtId="0" fontId="6" fillId="0" borderId="16" xfId="0" applyFont="1" applyBorder="1" applyAlignment="1">
      <alignment horizontal="right"/>
    </xf>
    <xf numFmtId="0" fontId="6" fillId="0" borderId="17" xfId="0" applyFont="1" applyBorder="1" applyAlignment="1">
      <alignment horizontal="right" vertical="center"/>
    </xf>
    <xf numFmtId="0" fontId="6" fillId="0" borderId="17" xfId="0" applyFont="1" applyBorder="1" applyAlignment="1">
      <alignment horizontal="right"/>
    </xf>
    <xf numFmtId="0" fontId="6" fillId="0" borderId="18" xfId="0" applyFont="1" applyBorder="1" applyAlignment="1">
      <alignment horizontal="right"/>
    </xf>
    <xf numFmtId="0" fontId="6" fillId="0" borderId="18" xfId="0" applyFont="1" applyBorder="1" applyAlignment="1">
      <alignment horizontal="right" vertical="center"/>
    </xf>
    <xf numFmtId="0" fontId="6" fillId="0" borderId="0" xfId="0" applyFont="1" applyAlignment="1">
      <alignment horizontal="right" vertical="center"/>
    </xf>
    <xf numFmtId="0" fontId="0" fillId="0" borderId="18" xfId="0" applyBorder="1" applyAlignment="1">
      <alignment horizontal="right"/>
    </xf>
    <xf numFmtId="0" fontId="12" fillId="0" borderId="18" xfId="0" applyFont="1" applyBorder="1" applyAlignment="1">
      <alignment horizontal="right"/>
    </xf>
    <xf numFmtId="0" fontId="6" fillId="0" borderId="1" xfId="0" applyFont="1" applyBorder="1" applyAlignment="1">
      <alignment horizontal="right"/>
    </xf>
    <xf numFmtId="0" fontId="6" fillId="0" borderId="1" xfId="1" applyFont="1" applyFill="1" applyBorder="1" applyAlignment="1">
      <alignment horizontal="right" vertical="center"/>
    </xf>
    <xf numFmtId="0" fontId="6" fillId="0" borderId="11" xfId="1" applyFont="1" applyFill="1" applyBorder="1" applyAlignment="1">
      <alignment horizontal="right" vertical="center"/>
    </xf>
    <xf numFmtId="0" fontId="4" fillId="0" borderId="1" xfId="0" applyFont="1" applyBorder="1" applyAlignment="1">
      <alignment horizontal="right" vertical="center"/>
    </xf>
    <xf numFmtId="0" fontId="1" fillId="0" borderId="15" xfId="1" applyFill="1" applyBorder="1" applyAlignment="1">
      <alignment horizontal="left" vertical="center"/>
    </xf>
    <xf numFmtId="164" fontId="3" fillId="0" borderId="1" xfId="3" applyNumberFormat="1" applyBorder="1" applyAlignment="1">
      <alignment horizontal="left" vertical="center"/>
    </xf>
    <xf numFmtId="0" fontId="1" fillId="0" borderId="10" xfId="1" applyBorder="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2" fillId="0" borderId="0" xfId="0" applyFont="1"/>
    <xf numFmtId="0" fontId="2" fillId="0" borderId="0" xfId="0" applyFont="1" applyAlignment="1">
      <alignment horizontal="center"/>
    </xf>
    <xf numFmtId="0" fontId="6" fillId="2" borderId="11" xfId="0" applyFont="1" applyFill="1" applyBorder="1" applyAlignment="1">
      <alignment horizontal="right" vertical="center"/>
    </xf>
    <xf numFmtId="0" fontId="2" fillId="2" borderId="0" xfId="0" applyFont="1" applyFill="1"/>
    <xf numFmtId="164" fontId="6" fillId="2" borderId="10" xfId="0" applyNumberFormat="1" applyFont="1" applyFill="1" applyBorder="1" applyAlignment="1">
      <alignment horizontal="left" vertical="center"/>
    </xf>
    <xf numFmtId="0" fontId="2" fillId="2" borderId="0" xfId="0" applyFont="1" applyFill="1" applyAlignment="1">
      <alignment horizontal="center"/>
    </xf>
    <xf numFmtId="2" fontId="8" fillId="2" borderId="11" xfId="0" applyNumberFormat="1" applyFont="1" applyFill="1" applyBorder="1" applyAlignment="1">
      <alignment vertical="center"/>
    </xf>
    <xf numFmtId="3" fontId="8" fillId="2" borderId="13" xfId="0" applyNumberFormat="1" applyFont="1" applyFill="1" applyBorder="1" applyAlignment="1">
      <alignment vertical="center"/>
    </xf>
    <xf numFmtId="2" fontId="8" fillId="2" borderId="14" xfId="0" applyNumberFormat="1" applyFont="1" applyFill="1" applyBorder="1" applyAlignment="1">
      <alignment vertical="center"/>
    </xf>
    <xf numFmtId="2" fontId="6" fillId="2" borderId="11" xfId="0" applyNumberFormat="1" applyFont="1" applyFill="1" applyBorder="1" applyAlignment="1">
      <alignment vertical="center"/>
    </xf>
    <xf numFmtId="0" fontId="6" fillId="2" borderId="11" xfId="0" applyFont="1" applyFill="1" applyBorder="1" applyAlignment="1">
      <alignment vertical="center"/>
    </xf>
    <xf numFmtId="0" fontId="1" fillId="2" borderId="11" xfId="0" applyFont="1" applyFill="1" applyBorder="1" applyAlignment="1">
      <alignment horizontal="left" vertical="center"/>
    </xf>
    <xf numFmtId="0" fontId="6" fillId="0" borderId="11" xfId="0" applyFont="1" applyBorder="1" applyAlignment="1">
      <alignment horizontal="right" vertical="center"/>
    </xf>
    <xf numFmtId="0" fontId="13" fillId="0" borderId="15" xfId="0" applyFont="1" applyBorder="1" applyAlignment="1">
      <alignment horizontal="left" vertical="center"/>
    </xf>
    <xf numFmtId="164" fontId="6" fillId="0" borderId="10" xfId="0" applyNumberFormat="1" applyFont="1" applyBorder="1" applyAlignment="1">
      <alignment horizontal="left" vertical="center"/>
    </xf>
    <xf numFmtId="0" fontId="1" fillId="0" borderId="11" xfId="0" applyFont="1" applyBorder="1" applyAlignment="1">
      <alignment horizontal="left" vertical="center"/>
    </xf>
    <xf numFmtId="0" fontId="13" fillId="2" borderId="15" xfId="0" applyFont="1" applyFill="1" applyBorder="1" applyAlignment="1">
      <alignment horizontal="left" vertical="center"/>
    </xf>
    <xf numFmtId="2" fontId="8" fillId="2" borderId="1" xfId="0" applyNumberFormat="1" applyFont="1" applyFill="1" applyBorder="1" applyAlignment="1">
      <alignment vertical="center"/>
    </xf>
    <xf numFmtId="3" fontId="8" fillId="2" borderId="1" xfId="0" applyNumberFormat="1" applyFont="1" applyFill="1" applyBorder="1" applyAlignment="1">
      <alignment vertical="center"/>
    </xf>
    <xf numFmtId="2" fontId="8" fillId="2" borderId="6" xfId="0" applyNumberFormat="1" applyFont="1" applyFill="1" applyBorder="1" applyAlignment="1">
      <alignment vertical="center"/>
    </xf>
    <xf numFmtId="0" fontId="1" fillId="0" borderId="1" xfId="0" applyFont="1" applyBorder="1" applyAlignment="1">
      <alignment horizontal="left" vertical="center"/>
    </xf>
    <xf numFmtId="0" fontId="6" fillId="2" borderId="1" xfId="0" applyFont="1" applyFill="1" applyBorder="1" applyAlignment="1">
      <alignment horizontal="right" vertical="center"/>
    </xf>
    <xf numFmtId="2" fontId="6" fillId="2" borderId="1" xfId="0" applyNumberFormat="1" applyFont="1" applyFill="1" applyBorder="1" applyAlignment="1">
      <alignment vertical="center"/>
    </xf>
    <xf numFmtId="0" fontId="6" fillId="2" borderId="1" xfId="0" applyFont="1" applyFill="1" applyBorder="1" applyAlignment="1">
      <alignment vertical="center"/>
    </xf>
    <xf numFmtId="0" fontId="1" fillId="2" borderId="1" xfId="0" applyFont="1" applyFill="1" applyBorder="1" applyAlignment="1">
      <alignment horizontal="left" vertical="center"/>
    </xf>
    <xf numFmtId="0" fontId="6" fillId="0" borderId="1" xfId="0" applyFont="1" applyBorder="1" applyAlignment="1">
      <alignment horizontal="right" vertical="center"/>
    </xf>
    <xf numFmtId="0" fontId="1" fillId="2" borderId="15" xfId="0" applyFont="1" applyFill="1" applyBorder="1" applyAlignment="1">
      <alignment horizontal="left" vertical="center"/>
    </xf>
    <xf numFmtId="164" fontId="6" fillId="2" borderId="15" xfId="0" applyNumberFormat="1" applyFont="1" applyFill="1" applyBorder="1" applyAlignment="1">
      <alignment horizontal="left" vertical="center"/>
    </xf>
    <xf numFmtId="0" fontId="6" fillId="2" borderId="1" xfId="0" applyFont="1" applyFill="1" applyBorder="1" applyAlignment="1">
      <alignment horizontal="center" vertical="center" indent="2"/>
    </xf>
    <xf numFmtId="0" fontId="2" fillId="2" borderId="16" xfId="0" applyFont="1" applyFill="1" applyBorder="1" applyAlignment="1">
      <alignment horizontal="center"/>
    </xf>
    <xf numFmtId="0" fontId="2" fillId="2" borderId="16" xfId="0" applyFont="1" applyFill="1" applyBorder="1"/>
    <xf numFmtId="3" fontId="6" fillId="2" borderId="1" xfId="0" applyNumberFormat="1" applyFont="1" applyFill="1" applyBorder="1" applyAlignment="1">
      <alignment vertical="center"/>
    </xf>
    <xf numFmtId="1" fontId="6" fillId="2" borderId="1" xfId="0" applyNumberFormat="1" applyFont="1" applyFill="1" applyBorder="1" applyAlignment="1">
      <alignment vertical="center"/>
    </xf>
    <xf numFmtId="1" fontId="6" fillId="2" borderId="6" xfId="0" applyNumberFormat="1" applyFont="1" applyFill="1" applyBorder="1" applyAlignment="1">
      <alignment vertical="center"/>
    </xf>
    <xf numFmtId="3" fontId="8" fillId="2" borderId="3" xfId="0" applyNumberFormat="1" applyFont="1" applyFill="1" applyBorder="1" applyAlignment="1">
      <alignment vertical="center"/>
    </xf>
    <xf numFmtId="2" fontId="8" fillId="2" borderId="5" xfId="0" applyNumberFormat="1" applyFont="1" applyFill="1" applyBorder="1" applyAlignment="1">
      <alignment vertical="center"/>
    </xf>
    <xf numFmtId="0" fontId="11" fillId="0" borderId="8" xfId="0" applyFont="1" applyBorder="1" applyAlignment="1">
      <alignment horizontal="right" vertical="center"/>
    </xf>
    <xf numFmtId="0" fontId="5" fillId="0" borderId="8" xfId="0" applyFont="1" applyBorder="1" applyAlignment="1">
      <alignment horizontal="left" vertical="center"/>
    </xf>
    <xf numFmtId="2" fontId="6" fillId="0" borderId="3" xfId="0" applyNumberFormat="1" applyFont="1" applyBorder="1" applyAlignment="1">
      <alignment vertical="center"/>
    </xf>
    <xf numFmtId="0" fontId="6" fillId="0" borderId="3" xfId="0" applyFont="1" applyBorder="1" applyAlignment="1">
      <alignment horizontal="left" vertical="center"/>
    </xf>
    <xf numFmtId="0" fontId="1" fillId="0" borderId="1" xfId="1" applyFill="1" applyBorder="1" applyAlignment="1">
      <alignment horizontal="left" vertical="center"/>
    </xf>
    <xf numFmtId="0" fontId="6" fillId="0" borderId="11" xfId="0" applyFont="1" applyBorder="1" applyAlignment="1">
      <alignment horizontal="left" vertical="center"/>
    </xf>
    <xf numFmtId="0" fontId="1" fillId="0" borderId="11" xfId="1" applyFill="1" applyBorder="1" applyAlignment="1">
      <alignment horizontal="left" vertical="center"/>
    </xf>
    <xf numFmtId="0" fontId="8" fillId="0" borderId="1" xfId="0" applyFont="1" applyBorder="1"/>
    <xf numFmtId="0" fontId="4" fillId="0" borderId="1" xfId="0" applyFont="1" applyBorder="1" applyAlignment="1">
      <alignment horizontal="left"/>
    </xf>
    <xf numFmtId="0" fontId="14" fillId="0" borderId="7" xfId="0" applyFont="1" applyBorder="1" applyAlignment="1">
      <alignment horizontal="left" vertical="center"/>
    </xf>
    <xf numFmtId="0" fontId="15" fillId="0" borderId="4" xfId="1" applyFont="1" applyBorder="1" applyAlignment="1">
      <alignment horizontal="left" vertical="center"/>
    </xf>
    <xf numFmtId="0" fontId="15" fillId="0" borderId="10" xfId="1" applyFont="1" applyBorder="1" applyAlignment="1">
      <alignment horizontal="left" vertical="center"/>
    </xf>
    <xf numFmtId="0" fontId="15" fillId="0" borderId="1" xfId="1" applyFont="1" applyBorder="1" applyAlignment="1">
      <alignment horizontal="left" vertical="center"/>
    </xf>
    <xf numFmtId="0" fontId="15" fillId="0" borderId="15" xfId="1" applyFont="1" applyBorder="1" applyAlignment="1">
      <alignment horizontal="left" vertical="center"/>
    </xf>
    <xf numFmtId="0" fontId="15" fillId="0" borderId="10" xfId="1" applyFont="1" applyBorder="1"/>
    <xf numFmtId="0" fontId="15" fillId="0" borderId="15" xfId="1" applyFont="1" applyFill="1" applyBorder="1" applyAlignment="1">
      <alignment horizontal="left" vertical="center"/>
    </xf>
    <xf numFmtId="0" fontId="16" fillId="0" borderId="15" xfId="1" applyFont="1" applyFill="1" applyBorder="1" applyAlignment="1">
      <alignment horizontal="left" vertical="center"/>
    </xf>
    <xf numFmtId="0" fontId="16" fillId="0" borderId="10" xfId="1" applyFont="1" applyFill="1" applyBorder="1" applyAlignment="1">
      <alignment horizontal="left" vertical="center"/>
    </xf>
    <xf numFmtId="0" fontId="15" fillId="0" borderId="10" xfId="1" applyFont="1" applyFill="1" applyBorder="1" applyAlignment="1">
      <alignment horizontal="left" vertical="center"/>
    </xf>
    <xf numFmtId="0" fontId="16" fillId="0" borderId="10" xfId="1" applyFont="1" applyBorder="1" applyAlignment="1">
      <alignment horizontal="left" vertical="center"/>
    </xf>
    <xf numFmtId="0" fontId="16" fillId="0" borderId="15" xfId="1" applyFont="1" applyBorder="1" applyAlignment="1">
      <alignment horizontal="left" vertical="center"/>
    </xf>
    <xf numFmtId="0" fontId="17" fillId="0" borderId="0" xfId="0" applyFont="1"/>
    <xf numFmtId="0" fontId="18" fillId="0" borderId="1" xfId="0" applyFont="1" applyBorder="1" applyAlignment="1">
      <alignment horizontal="left" vertical="center"/>
    </xf>
    <xf numFmtId="0" fontId="1" fillId="0" borderId="10" xfId="1" applyFill="1" applyBorder="1" applyAlignment="1">
      <alignment horizontal="left" vertical="center"/>
    </xf>
    <xf numFmtId="2" fontId="6" fillId="0" borderId="11" xfId="0" applyNumberFormat="1" applyFont="1" applyFill="1" applyBorder="1" applyAlignment="1">
      <alignment vertical="center"/>
    </xf>
    <xf numFmtId="0" fontId="6" fillId="0" borderId="11" xfId="0" applyFont="1" applyFill="1" applyBorder="1" applyAlignment="1">
      <alignment vertical="center"/>
    </xf>
    <xf numFmtId="0" fontId="1" fillId="0" borderId="11" xfId="1" applyBorder="1" applyAlignment="1">
      <alignment horizontal="left" vertical="center"/>
    </xf>
  </cellXfs>
  <cellStyles count="4">
    <cellStyle name="Date" xfId="2" xr:uid="{6F0A8B01-0191-40A2-B00A-ED1E02AD1E5F}"/>
    <cellStyle name="Hyperlink" xfId="1" builtinId="8"/>
    <cellStyle name="Normal" xfId="0" builtinId="0"/>
    <cellStyle name="Normal 3" xfId="3" xr:uid="{770A8CE4-86FC-45BF-95B8-E1D8E67E3936}"/>
  </cellStyles>
  <dxfs count="37">
    <dxf>
      <font>
        <b/>
        <i val="0"/>
      </font>
    </dxf>
    <dxf>
      <font>
        <color rgb="FF9C0006"/>
      </font>
      <fill>
        <patternFill>
          <bgColor rgb="FFFFC7CE"/>
        </patternFill>
      </fill>
    </dxf>
    <dxf>
      <font>
        <b val="0"/>
        <i val="0"/>
        <strike val="0"/>
        <condense val="0"/>
        <extend val="0"/>
        <outline val="0"/>
        <shadow val="0"/>
        <u val="none"/>
        <vertAlign val="baseline"/>
        <sz val="11"/>
        <color rgb="FF000000"/>
        <name val="Arial"/>
        <family val="2"/>
        <scheme val="none"/>
      </font>
      <fill>
        <patternFill patternType="none"/>
      </fill>
      <alignment horizontal="left"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none"/>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none"/>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none"/>
      </fill>
      <alignment horizontal="general" vertical="center" textRotation="0" wrapText="0" indent="0" justifyLastLine="0" shrinkToFit="0" readingOrder="0"/>
    </dxf>
    <dxf>
      <font>
        <b val="0"/>
        <i val="0"/>
        <strike val="0"/>
        <condense val="0"/>
        <extend val="0"/>
        <outline val="0"/>
        <shadow val="0"/>
        <u val="none"/>
        <vertAlign val="baseline"/>
        <sz val="11"/>
        <color theme="1" tint="0.499984740745262"/>
        <name val="Arial"/>
        <family val="2"/>
        <scheme val="none"/>
      </font>
      <numFmt numFmtId="2" formatCode="0.00"/>
      <alignment horizontal="general" vertical="center" textRotation="0" wrapText="0" indent="0" justifyLastLine="0" shrinkToFit="0" readingOrder="0"/>
      <border diagonalUp="0" diagonalDown="0">
        <left style="thin">
          <color theme="2"/>
        </left>
        <right/>
        <top/>
        <bottom/>
        <vertical/>
        <horizontal/>
      </border>
    </dxf>
    <dxf>
      <font>
        <b val="0"/>
        <i val="0"/>
        <strike val="0"/>
        <condense val="0"/>
        <extend val="0"/>
        <outline val="0"/>
        <shadow val="0"/>
        <u val="none"/>
        <vertAlign val="baseline"/>
        <sz val="11"/>
        <color theme="1" tint="0.499984740745262"/>
        <name val="Arial"/>
        <family val="2"/>
        <scheme val="none"/>
      </font>
      <numFmt numFmtId="2" formatCode="0.00"/>
      <alignment horizontal="general" vertical="center" textRotation="0" wrapText="0" indent="0" justifyLastLine="0" shrinkToFit="0" readingOrder="0"/>
      <border diagonalUp="0" diagonalDown="0">
        <left style="thin">
          <color theme="2"/>
        </left>
        <right/>
        <top/>
        <bottom/>
        <vertical/>
        <horizontal/>
      </border>
    </dxf>
    <dxf>
      <font>
        <b val="0"/>
        <i val="0"/>
        <strike val="0"/>
        <condense val="0"/>
        <extend val="0"/>
        <outline val="0"/>
        <shadow val="0"/>
        <u val="none"/>
        <vertAlign val="baseline"/>
        <sz val="11"/>
        <color theme="1" tint="0.499984740745262"/>
        <name val="Arial"/>
        <family val="2"/>
        <scheme val="none"/>
      </font>
      <numFmt numFmtId="2" formatCode="0.00"/>
      <alignment horizontal="general" vertical="center" textRotation="0" wrapText="0" indent="0" justifyLastLine="0" shrinkToFit="0" readingOrder="0"/>
      <border diagonalUp="0" diagonalDown="0">
        <left style="thin">
          <color theme="2"/>
        </left>
        <right/>
        <top/>
        <bottom/>
        <vertical/>
        <horizontal/>
      </border>
    </dxf>
    <dxf>
      <font>
        <b val="0"/>
        <i val="0"/>
        <strike val="0"/>
        <condense val="0"/>
        <extend val="0"/>
        <outline val="0"/>
        <shadow val="0"/>
        <u val="none"/>
        <vertAlign val="baseline"/>
        <sz val="11"/>
        <color theme="1" tint="0.499984740745262"/>
        <name val="Arial"/>
        <family val="2"/>
        <scheme val="none"/>
      </font>
      <numFmt numFmtId="2" formatCode="0.00"/>
      <alignment horizontal="general" vertical="center" textRotation="0" wrapText="0" indent="0" justifyLastLine="0" shrinkToFit="0" readingOrder="0"/>
      <border diagonalUp="0" diagonalDown="0">
        <left style="thin">
          <color theme="2"/>
        </left>
        <right/>
        <top/>
        <bottom style="thin">
          <color theme="2"/>
        </bottom>
        <vertical/>
        <horizontal/>
      </border>
    </dxf>
    <dxf>
      <font>
        <b val="0"/>
        <i val="0"/>
        <strike val="0"/>
        <condense val="0"/>
        <extend val="0"/>
        <outline val="0"/>
        <shadow val="0"/>
        <u val="none"/>
        <vertAlign val="baseline"/>
        <sz val="11"/>
        <color theme="1" tint="0.499984740745262"/>
        <name val="Arial"/>
        <family val="2"/>
        <scheme val="none"/>
      </font>
      <numFmt numFmtId="3" formatCode="#,##0"/>
      <alignment horizontal="general" vertical="center" textRotation="0" wrapText="0" indent="0" justifyLastLine="0" shrinkToFit="0" readingOrder="0"/>
      <border diagonalUp="0" diagonalDown="0">
        <left style="thin">
          <color theme="2"/>
        </left>
        <right style="thin">
          <color theme="2"/>
        </right>
        <top/>
        <bottom style="thin">
          <color theme="2"/>
        </bottom>
        <vertical/>
        <horizontal/>
      </border>
    </dxf>
    <dxf>
      <font>
        <b val="0"/>
        <i val="0"/>
        <strike val="0"/>
        <condense val="0"/>
        <extend val="0"/>
        <outline val="0"/>
        <shadow val="0"/>
        <u val="none"/>
        <vertAlign val="baseline"/>
        <sz val="11"/>
        <color theme="1" tint="0.499984740745262"/>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 formatCode="0"/>
      <alignment horizontal="general" vertical="center" textRotation="0" wrapText="0" indent="0" justifyLastLine="0" shrinkToFit="0" readingOrder="0"/>
      <border diagonalUp="0" diagonalDown="0">
        <left style="thin">
          <color theme="2"/>
        </left>
        <right/>
        <top style="thin">
          <color theme="2"/>
        </top>
        <bottom style="thin">
          <color theme="2"/>
        </bottom>
        <vertical/>
        <horizontal/>
      </border>
    </dxf>
    <dxf>
      <font>
        <b val="0"/>
        <i val="0"/>
        <strike val="0"/>
        <condense val="0"/>
        <extend val="0"/>
        <outline val="0"/>
        <shadow val="0"/>
        <u val="none"/>
        <vertAlign val="baseline"/>
        <sz val="11"/>
        <color rgb="FF000000"/>
        <name val="Arial"/>
        <family val="2"/>
        <scheme val="none"/>
      </font>
      <numFmt numFmtId="1" formatCode="0"/>
      <alignment horizontal="general" vertical="center"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2"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relative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relative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1"/>
        <color rgb="FF000000"/>
        <name val="Arial"/>
        <family val="2"/>
        <scheme val="none"/>
      </font>
      <numFmt numFmtId="164" formatCode="[$-F800]dddd\,\ mmmm\ dd\,\ yyyy"/>
      <alignment horizontal="left" vertical="center" textRotation="0" wrapText="0" indent="0" justifyLastLine="0" shrinkToFit="0" readingOrder="0"/>
      <border diagonalUp="0" diagonalDown="0">
        <left/>
        <right style="thin">
          <color theme="2"/>
        </right>
        <top style="thin">
          <color theme="2"/>
        </top>
        <bottom style="thin">
          <color theme="2"/>
        </bottom>
        <vertical/>
        <horizontal/>
      </border>
    </dxf>
    <dxf>
      <font>
        <b val="0"/>
        <sz val="10"/>
        <name val="Arial"/>
      </font>
      <alignment horizontal="left" vertical="center" textRotation="0" wrapText="0" relativeIndent="-1" justifyLastLine="0" shrinkToFit="0" readingOrder="0"/>
      <border diagonalUp="0" diagonalDown="0">
        <left/>
        <right style="thin">
          <color theme="2"/>
        </right>
        <top style="thin">
          <color theme="2"/>
        </top>
        <bottom style="thin">
          <color theme="2"/>
        </bottom>
        <vertical/>
        <horizontal/>
      </border>
    </dxf>
    <dxf>
      <font>
        <u val="none"/>
        <sz val="11"/>
        <color rgb="FF000000"/>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border outline="0">
        <bottom style="thin">
          <color theme="1" tint="0.34998626667073579"/>
        </bottom>
      </border>
    </dxf>
    <dxf>
      <border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rgb="FF000000"/>
        <name val="Arial"/>
        <family val="2"/>
        <scheme val="none"/>
      </font>
      <alignment horizontal="right" vertical="center" textRotation="0" wrapText="0" indent="0" justifyLastLine="0" shrinkToFit="0" readingOrder="0"/>
      <border diagonalUp="0" diagonalDown="0">
        <left style="thin">
          <color theme="2"/>
        </left>
        <right style="thin">
          <color theme="2"/>
        </right>
        <top/>
        <bottom/>
      </border>
    </dxf>
    <dxf>
      <font>
        <b/>
        <i val="0"/>
      </font>
    </dxf>
    <dxf>
      <font>
        <b/>
        <i val="0"/>
      </font>
    </dxf>
    <dxf>
      <font>
        <b/>
        <i val="0"/>
      </font>
    </dxf>
    <dxf>
      <font>
        <b/>
        <i val="0"/>
      </font>
    </dxf>
    <dxf>
      <font>
        <b/>
        <i val="0"/>
      </font>
    </dxf>
    <dxf>
      <font>
        <b/>
        <i val="0"/>
      </font>
    </dxf>
    <dxf>
      <font>
        <b/>
        <i val="0"/>
      </font>
    </dxf>
    <dxf>
      <font>
        <b/>
        <i val="0"/>
      </font>
    </dxf>
    <dxf>
      <font>
        <b val="0"/>
        <i/>
        <color rgb="FF9C0006"/>
      </font>
    </dxf>
    <dxf>
      <font>
        <b val="0"/>
        <i/>
        <color rgb="FF9C0006"/>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DD768E-A427-4502-A92D-DAA15A17B5EF}" name="Table1" displayName="Table1" ref="A1:T266" totalsRowShown="0" headerRowDxfId="25" dataDxfId="24" headerRowBorderDxfId="22" tableBorderDxfId="23">
  <autoFilter ref="A1:T266" xr:uid="{50DD768E-A427-4502-A92D-DAA15A17B5EF}"/>
  <sortState xmlns:xlrd2="http://schemas.microsoft.com/office/spreadsheetml/2017/richdata2" ref="A2:T164">
    <sortCondition ref="C1:C164"/>
  </sortState>
  <tableColumns count="20">
    <tableColumn id="20" xr3:uid="{66E4B416-ED24-47A6-B9F0-5E9B6DD250F2}" name="img-id" dataDxfId="21" dataCellStyle="Hyperlink"/>
    <tableColumn id="1" xr3:uid="{592A3136-8A60-4650-9DF6-CD74A33464B1}" name="name" dataDxfId="20" dataCellStyle="Hyperlink"/>
    <tableColumn id="7" xr3:uid="{1F194343-9489-4FF7-8BA8-8FE4AD211F8B}" name="date" dataDxfId="19" dataCellStyle="Hyperlink"/>
    <tableColumn id="2" xr3:uid="{613F8D1F-C5D7-46FB-834A-5183617D5BF8}" name="brand" dataDxfId="18"/>
    <tableColumn id="3" xr3:uid="{39913B7C-CBB3-470C-8F4E-6888A201DA8B}" name="type" dataDxfId="17"/>
    <tableColumn id="16" xr3:uid="{DAD37DCA-0435-441A-B8E1-5FE82B0D8B9D}" name="send-type" dataDxfId="16"/>
    <tableColumn id="4" xr3:uid="{0D81733F-25B3-4A7C-B3C0-DFE06A90464F}" name="unique-sends" dataDxfId="15"/>
    <tableColumn id="5" xr3:uid="{274A7B85-7FDE-4D40-8515-C885EF39314B}" name="unique-opens" dataDxfId="14"/>
    <tableColumn id="6" xr3:uid="{C860F744-163F-46E0-BC1A-15DDD6121358}" name="unique-clicks" dataDxfId="13"/>
    <tableColumn id="10" xr3:uid="{A71DAAD5-121C-41AC-A08E-BF363CF89DFE}" name="unsub" dataDxfId="12"/>
    <tableColumn id="11" xr3:uid="{3E23A808-3FEF-4D90-BACE-62A3345A0868}" name="unsub-pc" dataDxfId="11">
      <calculatedColumnFormula>(Table1[[#This Row],[unsub]]/Table1[[#This Row],[unique-sends]])*100</calculatedColumnFormula>
    </tableColumn>
    <tableColumn id="8" xr3:uid="{E7D2EFD0-301C-4002-8501-CE02665F086E}" name="unique-opens-pc" dataDxfId="10">
      <calculatedColumnFormula>Table1[[#This Row],[unique-opens]] / Table1[[#This Row],[unique-sends]] * 100</calculatedColumnFormula>
    </tableColumn>
    <tableColumn id="9" xr3:uid="{FE8ED384-E8DC-43C9-9628-C6A9E5DFA5BE}" name="unique-clicks-pc" dataDxfId="9">
      <calculatedColumnFormula>Table1[[#This Row],[unique-clicks]] / Table1[[#This Row],[unique-sends]] * 100</calculatedColumnFormula>
    </tableColumn>
    <tableColumn id="17" xr3:uid="{E60FB7EF-7008-49DF-B5E7-A73B4E9595D4}" name="ctor-pc" dataDxfId="8">
      <calculatedColumnFormula>Table1[[#This Row],[unique-clicks]] / Table1[[#This Row],[unique-opens]] * 100</calculatedColumnFormula>
    </tableColumn>
    <tableColumn id="18" xr3:uid="{EA74FC93-B969-4F46-9C49-8927D6B3A01B}" name="Engagement Score" dataDxfId="7">
      <calculatedColumnFormula>(MIN(Table1[[#This Row],[unique-opens]]/Table1[[#This Row],[unique-sends]],1)*50
 + MIN(Table1[[#This Row],[unique-clicks]]/Table1[[#This Row],[unique-sends]],1)*50)
 * (1 + MIN(Table1[[#This Row],[unique-clicks]]/Table1[[#This Row],[unique-sends]],1))
 - ((Table1[[#This Row],[unsub]]/Table1[[#This Row],[unique-sends]]*100)*2)</calculatedColumnFormula>
    </tableColumn>
    <tableColumn id="19" xr3:uid="{E01D85AE-C032-4929-BBDB-DEDD7A99ADE8}" name="Traffic Light" dataDxfId="6">
      <calculatedColumnFormula>IF(Table1[[#This Row],[Engagement Score]]&lt;30,"🔴",IF(Table1[[#This Row],[Engagement Score]]&lt;40,"🟡","🟢"))</calculatedColumnFormula>
    </tableColumn>
    <tableColumn id="12" xr3:uid="{3CA46112-C95F-E64B-A58D-81BDEBF2FDC4}" name="read-over-8s" dataDxfId="5"/>
    <tableColumn id="13" xr3:uid="{985DCAD1-25BF-804E-9E49-5E19FC44B93C}" name="read-under-8s" dataDxfId="4"/>
    <tableColumn id="14" xr3:uid="{986830C2-C7E6-C645-8ACD-C78E1B2E462F}" name="read-under-2s" dataDxfId="3"/>
    <tableColumn id="15" xr3:uid="{D273CFB9-324F-4CB2-B1BA-58EEE2D8C50F}" name="Litmus-tacking-id"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itmus.com/folders/366549/emails/18737825/analytics" TargetMode="External"/><Relationship Id="rId299" Type="http://schemas.openxmlformats.org/officeDocument/2006/relationships/hyperlink" Target="https://experience.adobe.com/" TargetMode="External"/><Relationship Id="rId21" Type="http://schemas.openxmlformats.org/officeDocument/2006/relationships/hyperlink" Target="https://experience.adobe.com/" TargetMode="External"/><Relationship Id="rId63" Type="http://schemas.openxmlformats.org/officeDocument/2006/relationships/hyperlink" Target="https://experience.adobe.com/" TargetMode="External"/><Relationship Id="rId159" Type="http://schemas.openxmlformats.org/officeDocument/2006/relationships/hyperlink" Target="https://experience.adobe.com/" TargetMode="External"/><Relationship Id="rId324" Type="http://schemas.openxmlformats.org/officeDocument/2006/relationships/hyperlink" Target="https://experience.adobe.com/" TargetMode="External"/><Relationship Id="rId170" Type="http://schemas.openxmlformats.org/officeDocument/2006/relationships/hyperlink" Target="https://experience.adobe.com/" TargetMode="External"/><Relationship Id="rId226" Type="http://schemas.openxmlformats.org/officeDocument/2006/relationships/hyperlink" Target="https://litmus.com/folders/366549/emails/19127170/analytics" TargetMode="External"/><Relationship Id="rId268" Type="http://schemas.openxmlformats.org/officeDocument/2006/relationships/hyperlink" Target="https://experience.adobe.com/" TargetMode="External"/><Relationship Id="rId32" Type="http://schemas.openxmlformats.org/officeDocument/2006/relationships/hyperlink" Target="https://litmus.com/folders/324180/emails/18452760/analytics" TargetMode="External"/><Relationship Id="rId74" Type="http://schemas.openxmlformats.org/officeDocument/2006/relationships/hyperlink" Target="https://experience.adobe.com/" TargetMode="External"/><Relationship Id="rId128" Type="http://schemas.openxmlformats.org/officeDocument/2006/relationships/hyperlink" Target="https://litmus.com/folders/324180/emails/18892611/analytics" TargetMode="External"/><Relationship Id="rId335" Type="http://schemas.openxmlformats.org/officeDocument/2006/relationships/hyperlink" Target="https://litmus.com/folders/324180/emails/19869017/analytics" TargetMode="External"/><Relationship Id="rId5" Type="http://schemas.openxmlformats.org/officeDocument/2006/relationships/hyperlink" Target="https://experience.adobe.com/" TargetMode="External"/><Relationship Id="rId181" Type="http://schemas.openxmlformats.org/officeDocument/2006/relationships/hyperlink" Target="https://experience.adobe.com/" TargetMode="External"/><Relationship Id="rId237" Type="http://schemas.openxmlformats.org/officeDocument/2006/relationships/hyperlink" Target="https://experience.adobe.com/" TargetMode="External"/><Relationship Id="rId279" Type="http://schemas.openxmlformats.org/officeDocument/2006/relationships/hyperlink" Target="https://litmus.com/folders/429312/emails/19314145/analytics" TargetMode="External"/><Relationship Id="rId43" Type="http://schemas.openxmlformats.org/officeDocument/2006/relationships/hyperlink" Target="https://litmus.com/folders/405552/emails/18192937/analytics" TargetMode="External"/><Relationship Id="rId139" Type="http://schemas.openxmlformats.org/officeDocument/2006/relationships/hyperlink" Target="https://experience.adobe.com/" TargetMode="External"/><Relationship Id="rId290" Type="http://schemas.openxmlformats.org/officeDocument/2006/relationships/hyperlink" Target="https://experience.adobe.com/" TargetMode="External"/><Relationship Id="rId304" Type="http://schemas.openxmlformats.org/officeDocument/2006/relationships/hyperlink" Target="https://experience.adobe.com/" TargetMode="External"/><Relationship Id="rId85" Type="http://schemas.openxmlformats.org/officeDocument/2006/relationships/hyperlink" Target="https://experience.adobe.com/" TargetMode="External"/><Relationship Id="rId150" Type="http://schemas.openxmlformats.org/officeDocument/2006/relationships/hyperlink" Target="https://experience.adobe.com/" TargetMode="External"/><Relationship Id="rId192" Type="http://schemas.openxmlformats.org/officeDocument/2006/relationships/hyperlink" Target="https://experience.adobe.com/" TargetMode="External"/><Relationship Id="rId206" Type="http://schemas.openxmlformats.org/officeDocument/2006/relationships/hyperlink" Target="https://litmus.com/folders/416254/emails/19097350/analytics" TargetMode="External"/><Relationship Id="rId248" Type="http://schemas.openxmlformats.org/officeDocument/2006/relationships/hyperlink" Target="https://experience.adobe.com/" TargetMode="External"/><Relationship Id="rId12" Type="http://schemas.openxmlformats.org/officeDocument/2006/relationships/hyperlink" Target="https://experience.adobe.com/" TargetMode="External"/><Relationship Id="rId108" Type="http://schemas.openxmlformats.org/officeDocument/2006/relationships/hyperlink" Target="https://litmus.com/folders/419116/emails/18877094/analytics" TargetMode="External"/><Relationship Id="rId315" Type="http://schemas.openxmlformats.org/officeDocument/2006/relationships/hyperlink" Target="https://experience.adobe.com/" TargetMode="External"/><Relationship Id="rId54" Type="http://schemas.openxmlformats.org/officeDocument/2006/relationships/hyperlink" Target="https://litmus.com/folders/324180/emails/18752012/analytics" TargetMode="External"/><Relationship Id="rId96" Type="http://schemas.openxmlformats.org/officeDocument/2006/relationships/hyperlink" Target="https://litmus.com/folders/418112/emails/18808809/analytics" TargetMode="External"/><Relationship Id="rId161" Type="http://schemas.openxmlformats.org/officeDocument/2006/relationships/hyperlink" Target="https://experience.adobe.com/" TargetMode="External"/><Relationship Id="rId217" Type="http://schemas.openxmlformats.org/officeDocument/2006/relationships/hyperlink" Target="https://experience.adobe.com/" TargetMode="External"/><Relationship Id="rId259" Type="http://schemas.openxmlformats.org/officeDocument/2006/relationships/hyperlink" Target="https://experience.adobe.com/" TargetMode="External"/><Relationship Id="rId23" Type="http://schemas.openxmlformats.org/officeDocument/2006/relationships/hyperlink" Target="https://experience.adobe.com/" TargetMode="External"/><Relationship Id="rId119" Type="http://schemas.openxmlformats.org/officeDocument/2006/relationships/hyperlink" Target="https://experience.adobe.com/" TargetMode="External"/><Relationship Id="rId270" Type="http://schemas.openxmlformats.org/officeDocument/2006/relationships/hyperlink" Target="https://experience.adobe.com/" TargetMode="External"/><Relationship Id="rId326" Type="http://schemas.openxmlformats.org/officeDocument/2006/relationships/hyperlink" Target="https://experience.adobe.com/" TargetMode="External"/><Relationship Id="rId65" Type="http://schemas.openxmlformats.org/officeDocument/2006/relationships/hyperlink" Target="https://litmus.com/folders/324180/emails/18892607/analytics" TargetMode="External"/><Relationship Id="rId130" Type="http://schemas.openxmlformats.org/officeDocument/2006/relationships/hyperlink" Target="https://experience.adobe.com/" TargetMode="External"/><Relationship Id="rId172" Type="http://schemas.openxmlformats.org/officeDocument/2006/relationships/hyperlink" Target="https://experience.adobe.com/" TargetMode="External"/><Relationship Id="rId228" Type="http://schemas.openxmlformats.org/officeDocument/2006/relationships/hyperlink" Target="https://litmus.com/folders/324180/emails/19386462/analytics" TargetMode="External"/><Relationship Id="rId281" Type="http://schemas.openxmlformats.org/officeDocument/2006/relationships/hyperlink" Target="https://litmus.com/folders/416254/emails/19189222/analytics" TargetMode="External"/><Relationship Id="rId337" Type="http://schemas.openxmlformats.org/officeDocument/2006/relationships/hyperlink" Target="https://experience.adobe.com/" TargetMode="External"/><Relationship Id="rId34" Type="http://schemas.openxmlformats.org/officeDocument/2006/relationships/hyperlink" Target="https://litmus.com/folders/324180/emails/18485780/analytics" TargetMode="External"/><Relationship Id="rId76" Type="http://schemas.openxmlformats.org/officeDocument/2006/relationships/hyperlink" Target="https://experience.adobe.com/" TargetMode="External"/><Relationship Id="rId141" Type="http://schemas.openxmlformats.org/officeDocument/2006/relationships/hyperlink" Target="https://experience.adobe.com/" TargetMode="External"/><Relationship Id="rId7" Type="http://schemas.openxmlformats.org/officeDocument/2006/relationships/hyperlink" Target="https://experience.adobe.com/" TargetMode="External"/><Relationship Id="rId183" Type="http://schemas.openxmlformats.org/officeDocument/2006/relationships/hyperlink" Target="https://experience.adobe.com/" TargetMode="External"/><Relationship Id="rId239" Type="http://schemas.openxmlformats.org/officeDocument/2006/relationships/hyperlink" Target="https://experience.adobe.com/" TargetMode="External"/><Relationship Id="rId250" Type="http://schemas.openxmlformats.org/officeDocument/2006/relationships/hyperlink" Target="https://experience.adobe.com/" TargetMode="External"/><Relationship Id="rId292" Type="http://schemas.openxmlformats.org/officeDocument/2006/relationships/hyperlink" Target="https://experience.adobe.com/" TargetMode="External"/><Relationship Id="rId306" Type="http://schemas.openxmlformats.org/officeDocument/2006/relationships/hyperlink" Target="https://experience.adobe.com/" TargetMode="External"/><Relationship Id="rId45" Type="http://schemas.openxmlformats.org/officeDocument/2006/relationships/hyperlink" Target="https://litmus.com/folders/405552/emails/18192937/analytics" TargetMode="External"/><Relationship Id="rId87" Type="http://schemas.openxmlformats.org/officeDocument/2006/relationships/hyperlink" Target="https://experience.adobe.com/" TargetMode="External"/><Relationship Id="rId110" Type="http://schemas.openxmlformats.org/officeDocument/2006/relationships/hyperlink" Target="https://litmus.com/folders/419116/emails/18877194/analytics" TargetMode="External"/><Relationship Id="rId152" Type="http://schemas.openxmlformats.org/officeDocument/2006/relationships/hyperlink" Target="https://experience.adobe.com/" TargetMode="External"/><Relationship Id="rId194" Type="http://schemas.openxmlformats.org/officeDocument/2006/relationships/hyperlink" Target="https://experience.adobe.com/" TargetMode="External"/><Relationship Id="rId208" Type="http://schemas.openxmlformats.org/officeDocument/2006/relationships/hyperlink" Target="https://experience.adobe.com/" TargetMode="External"/><Relationship Id="rId240" Type="http://schemas.openxmlformats.org/officeDocument/2006/relationships/hyperlink" Target="https://experience.adobe.com/" TargetMode="External"/><Relationship Id="rId261" Type="http://schemas.openxmlformats.org/officeDocument/2006/relationships/hyperlink" Target="https://experience.adobe.com/" TargetMode="External"/><Relationship Id="rId14" Type="http://schemas.openxmlformats.org/officeDocument/2006/relationships/hyperlink" Target="https://experience.adobe.com/" TargetMode="External"/><Relationship Id="rId35" Type="http://schemas.openxmlformats.org/officeDocument/2006/relationships/hyperlink" Target="https://litmus.com/folders/324180/emails/18485781/analytics" TargetMode="External"/><Relationship Id="rId56" Type="http://schemas.openxmlformats.org/officeDocument/2006/relationships/hyperlink" Target="https://experience.adobe.com/" TargetMode="External"/><Relationship Id="rId77" Type="http://schemas.openxmlformats.org/officeDocument/2006/relationships/hyperlink" Target="https://litmus.com/folders/405552/emails/18364177/analytics" TargetMode="External"/><Relationship Id="rId100" Type="http://schemas.openxmlformats.org/officeDocument/2006/relationships/hyperlink" Target="https://experience.adobe.com/" TargetMode="External"/><Relationship Id="rId282" Type="http://schemas.openxmlformats.org/officeDocument/2006/relationships/hyperlink" Target="https://litmus.com/folders/416254/emails/19189222/analytics" TargetMode="External"/><Relationship Id="rId317" Type="http://schemas.openxmlformats.org/officeDocument/2006/relationships/hyperlink" Target="https://experience.adobe.com/" TargetMode="External"/><Relationship Id="rId338" Type="http://schemas.openxmlformats.org/officeDocument/2006/relationships/hyperlink" Target="https://experience.adobe.com/" TargetMode="External"/><Relationship Id="rId8" Type="http://schemas.openxmlformats.org/officeDocument/2006/relationships/hyperlink" Target="https://experience.adobe.com/" TargetMode="External"/><Relationship Id="rId98" Type="http://schemas.openxmlformats.org/officeDocument/2006/relationships/hyperlink" Target="https://experience.adobe.com/" TargetMode="External"/><Relationship Id="rId121" Type="http://schemas.openxmlformats.org/officeDocument/2006/relationships/hyperlink" Target="https://litmus.com/folders/324180/emails/19043995/analytics" TargetMode="External"/><Relationship Id="rId142" Type="http://schemas.openxmlformats.org/officeDocument/2006/relationships/hyperlink" Target="https://litmus.com/folders/372742/emails/16700910/analytics" TargetMode="External"/><Relationship Id="rId163" Type="http://schemas.openxmlformats.org/officeDocument/2006/relationships/hyperlink" Target="https://experience.adobe.com/" TargetMode="External"/><Relationship Id="rId184" Type="http://schemas.openxmlformats.org/officeDocument/2006/relationships/hyperlink" Target="https://experience.adobe.com/" TargetMode="External"/><Relationship Id="rId219" Type="http://schemas.openxmlformats.org/officeDocument/2006/relationships/hyperlink" Target="https://experience.adobe.com/" TargetMode="External"/><Relationship Id="rId230" Type="http://schemas.openxmlformats.org/officeDocument/2006/relationships/hyperlink" Target="https://experience.adobe.com/" TargetMode="External"/><Relationship Id="rId251" Type="http://schemas.openxmlformats.org/officeDocument/2006/relationships/hyperlink" Target="https://litmus.com/folders/324180/emails/19371176/analytics" TargetMode="External"/><Relationship Id="rId25" Type="http://schemas.openxmlformats.org/officeDocument/2006/relationships/hyperlink" Target="https://experience.adobe.com/" TargetMode="External"/><Relationship Id="rId46" Type="http://schemas.openxmlformats.org/officeDocument/2006/relationships/hyperlink" Target="https://experience.adobe.com/" TargetMode="External"/><Relationship Id="rId67" Type="http://schemas.openxmlformats.org/officeDocument/2006/relationships/hyperlink" Target="https://litmus.com/folders/421343/emails/18865528/analytics" TargetMode="External"/><Relationship Id="rId272" Type="http://schemas.openxmlformats.org/officeDocument/2006/relationships/hyperlink" Target="https://experience.adobe.com/" TargetMode="External"/><Relationship Id="rId293" Type="http://schemas.openxmlformats.org/officeDocument/2006/relationships/hyperlink" Target="https://experience.adobe.com/" TargetMode="External"/><Relationship Id="rId307" Type="http://schemas.openxmlformats.org/officeDocument/2006/relationships/hyperlink" Target="https://experience.adobe.com/" TargetMode="External"/><Relationship Id="rId328" Type="http://schemas.openxmlformats.org/officeDocument/2006/relationships/hyperlink" Target="https://litmus.com/folders/324180/emails/19788343/analytics" TargetMode="External"/><Relationship Id="rId88" Type="http://schemas.openxmlformats.org/officeDocument/2006/relationships/hyperlink" Target="https://litmus.com/folders/418112/emails/18808546/analytics" TargetMode="External"/><Relationship Id="rId111" Type="http://schemas.openxmlformats.org/officeDocument/2006/relationships/hyperlink" Target="https://litmus.com/folders/419116/emails/18877286/analytics" TargetMode="External"/><Relationship Id="rId132" Type="http://schemas.openxmlformats.org/officeDocument/2006/relationships/hyperlink" Target="https://litmus.com/folders/420731/emails/18878858/analytics" TargetMode="External"/><Relationship Id="rId153" Type="http://schemas.openxmlformats.org/officeDocument/2006/relationships/hyperlink" Target="https://experience.adobe.com/" TargetMode="External"/><Relationship Id="rId174" Type="http://schemas.openxmlformats.org/officeDocument/2006/relationships/hyperlink" Target="https://experience.adobe.com/" TargetMode="External"/><Relationship Id="rId195" Type="http://schemas.openxmlformats.org/officeDocument/2006/relationships/hyperlink" Target="https://experience.adobe.com/" TargetMode="External"/><Relationship Id="rId209" Type="http://schemas.openxmlformats.org/officeDocument/2006/relationships/hyperlink" Target="https://litmus.com/folders/358386/emails/19028939/analytics" TargetMode="External"/><Relationship Id="rId220" Type="http://schemas.openxmlformats.org/officeDocument/2006/relationships/hyperlink" Target="https://experience.adobe.com/" TargetMode="External"/><Relationship Id="rId241" Type="http://schemas.openxmlformats.org/officeDocument/2006/relationships/hyperlink" Target="https://experience.adobe.com/" TargetMode="External"/><Relationship Id="rId15" Type="http://schemas.openxmlformats.org/officeDocument/2006/relationships/hyperlink" Target="https://experience.adobe.com/" TargetMode="External"/><Relationship Id="rId36" Type="http://schemas.openxmlformats.org/officeDocument/2006/relationships/hyperlink" Target="https://litmus.com/folders/324180/emails/18529297/analytics" TargetMode="External"/><Relationship Id="rId57" Type="http://schemas.openxmlformats.org/officeDocument/2006/relationships/hyperlink" Target="https://experience.adobe.com/" TargetMode="External"/><Relationship Id="rId262" Type="http://schemas.openxmlformats.org/officeDocument/2006/relationships/hyperlink" Target="https://experience.adobe.com/" TargetMode="External"/><Relationship Id="rId283" Type="http://schemas.openxmlformats.org/officeDocument/2006/relationships/hyperlink" Target="https://litmus.com/folders/416254/emails/19189222/analytics" TargetMode="External"/><Relationship Id="rId318" Type="http://schemas.openxmlformats.org/officeDocument/2006/relationships/hyperlink" Target="https://experience.adobe.com/" TargetMode="External"/><Relationship Id="rId339" Type="http://schemas.openxmlformats.org/officeDocument/2006/relationships/hyperlink" Target="https://litmus.com/folders/440129/emails/19700152/analytics" TargetMode="External"/><Relationship Id="rId78" Type="http://schemas.openxmlformats.org/officeDocument/2006/relationships/hyperlink" Target="https://litmus.com/folders/405552/emails/18364177/analytics" TargetMode="External"/><Relationship Id="rId99" Type="http://schemas.openxmlformats.org/officeDocument/2006/relationships/hyperlink" Target="https://experience.adobe.com/" TargetMode="External"/><Relationship Id="rId101" Type="http://schemas.openxmlformats.org/officeDocument/2006/relationships/hyperlink" Target="https://experience.adobe.com/" TargetMode="External"/><Relationship Id="rId122" Type="http://schemas.openxmlformats.org/officeDocument/2006/relationships/hyperlink" Target="https://experience.adobe.com/" TargetMode="External"/><Relationship Id="rId143" Type="http://schemas.openxmlformats.org/officeDocument/2006/relationships/hyperlink" Target="https://litmus.com/folders/372742/emails/16700910/analytics" TargetMode="External"/><Relationship Id="rId164" Type="http://schemas.openxmlformats.org/officeDocument/2006/relationships/hyperlink" Target="https://experience.adobe.com/" TargetMode="External"/><Relationship Id="rId185" Type="http://schemas.openxmlformats.org/officeDocument/2006/relationships/hyperlink" Target="https://experience.adobe.com/" TargetMode="External"/><Relationship Id="rId9" Type="http://schemas.openxmlformats.org/officeDocument/2006/relationships/hyperlink" Target="https://experience.adobe.com/" TargetMode="External"/><Relationship Id="rId210" Type="http://schemas.openxmlformats.org/officeDocument/2006/relationships/hyperlink" Target="https://litmus.com/folders/324180/emails/19332991/analytics" TargetMode="External"/><Relationship Id="rId26" Type="http://schemas.openxmlformats.org/officeDocument/2006/relationships/hyperlink" Target="https://litmus.com/folders/358386/emails/18105943/analytics" TargetMode="External"/><Relationship Id="rId231" Type="http://schemas.openxmlformats.org/officeDocument/2006/relationships/hyperlink" Target="https://experience.adobe.com/" TargetMode="External"/><Relationship Id="rId252" Type="http://schemas.openxmlformats.org/officeDocument/2006/relationships/hyperlink" Target="https://experience.adobe.com/" TargetMode="External"/><Relationship Id="rId273" Type="http://schemas.openxmlformats.org/officeDocument/2006/relationships/hyperlink" Target="https://experience.adobe.com/" TargetMode="External"/><Relationship Id="rId294" Type="http://schemas.openxmlformats.org/officeDocument/2006/relationships/hyperlink" Target="https://experience.adobe.com/" TargetMode="External"/><Relationship Id="rId308" Type="http://schemas.openxmlformats.org/officeDocument/2006/relationships/hyperlink" Target="https://experience.adobe.com/" TargetMode="External"/><Relationship Id="rId329" Type="http://schemas.openxmlformats.org/officeDocument/2006/relationships/hyperlink" Target="https://experience.adobe.com/" TargetMode="External"/><Relationship Id="rId47" Type="http://schemas.openxmlformats.org/officeDocument/2006/relationships/hyperlink" Target="https://litmus.com/folders/405552/emails/18192937/analytics" TargetMode="External"/><Relationship Id="rId68" Type="http://schemas.openxmlformats.org/officeDocument/2006/relationships/hyperlink" Target="https://litmus.com/folders/421343/emails/18865528/analyticshttps:/experience.adobe.com/" TargetMode="External"/><Relationship Id="rId89" Type="http://schemas.openxmlformats.org/officeDocument/2006/relationships/hyperlink" Target="https://litmus.com/folders/418112/emails/18807835/analytics" TargetMode="External"/><Relationship Id="rId112" Type="http://schemas.openxmlformats.org/officeDocument/2006/relationships/hyperlink" Target="https://litmus.com/folders/419116/emails/18956115/analytics" TargetMode="External"/><Relationship Id="rId133" Type="http://schemas.openxmlformats.org/officeDocument/2006/relationships/hyperlink" Target="https://litmus.com/folders/420731/emails/18878857/analytics" TargetMode="External"/><Relationship Id="rId154" Type="http://schemas.openxmlformats.org/officeDocument/2006/relationships/hyperlink" Target="https://experience.adobe.com/" TargetMode="External"/><Relationship Id="rId175" Type="http://schemas.openxmlformats.org/officeDocument/2006/relationships/hyperlink" Target="https://experience.adobe.com/" TargetMode="External"/><Relationship Id="rId340" Type="http://schemas.openxmlformats.org/officeDocument/2006/relationships/hyperlink" Target="https://litmus.com/folders/440129/emails/19699239/analytics" TargetMode="External"/><Relationship Id="rId196" Type="http://schemas.openxmlformats.org/officeDocument/2006/relationships/hyperlink" Target="https://experience.adobe.com/" TargetMode="External"/><Relationship Id="rId200" Type="http://schemas.openxmlformats.org/officeDocument/2006/relationships/hyperlink" Target="https://experience.adobe.com/" TargetMode="External"/><Relationship Id="rId16" Type="http://schemas.openxmlformats.org/officeDocument/2006/relationships/hyperlink" Target="https://experience.adobe.com/" TargetMode="External"/><Relationship Id="rId221" Type="http://schemas.openxmlformats.org/officeDocument/2006/relationships/hyperlink" Target="https://experience.adobe.com/" TargetMode="External"/><Relationship Id="rId242" Type="http://schemas.openxmlformats.org/officeDocument/2006/relationships/hyperlink" Target="https://experience.adobe.com/" TargetMode="External"/><Relationship Id="rId263" Type="http://schemas.openxmlformats.org/officeDocument/2006/relationships/hyperlink" Target="https://experience.adobe.com/" TargetMode="External"/><Relationship Id="rId284" Type="http://schemas.openxmlformats.org/officeDocument/2006/relationships/hyperlink" Target="https://litmus.com/folders/416254/emails/19189222/analytics" TargetMode="External"/><Relationship Id="rId319" Type="http://schemas.openxmlformats.org/officeDocument/2006/relationships/hyperlink" Target="https://experience.adobe.com/" TargetMode="External"/><Relationship Id="rId37" Type="http://schemas.openxmlformats.org/officeDocument/2006/relationships/hyperlink" Target="https://litmus.com/folders/324180/emails/18529296/analytics" TargetMode="External"/><Relationship Id="rId58" Type="http://schemas.openxmlformats.org/officeDocument/2006/relationships/hyperlink" Target="https://litmus.com/folders/324180/emails/18823362/analytics" TargetMode="External"/><Relationship Id="rId79" Type="http://schemas.openxmlformats.org/officeDocument/2006/relationships/hyperlink" Target="https://experience.adobe.com/" TargetMode="External"/><Relationship Id="rId102" Type="http://schemas.openxmlformats.org/officeDocument/2006/relationships/hyperlink" Target="https://experience.adobe.com/" TargetMode="External"/><Relationship Id="rId123" Type="http://schemas.openxmlformats.org/officeDocument/2006/relationships/hyperlink" Target="https://litmus.com/folders/420447/emails/19021328/analytics" TargetMode="External"/><Relationship Id="rId144" Type="http://schemas.openxmlformats.org/officeDocument/2006/relationships/hyperlink" Target="https://litmus.com/folders/372742/emails/16700910/analytics" TargetMode="External"/><Relationship Id="rId330" Type="http://schemas.openxmlformats.org/officeDocument/2006/relationships/hyperlink" Target="https://experience.adobe.com/" TargetMode="External"/><Relationship Id="rId90" Type="http://schemas.openxmlformats.org/officeDocument/2006/relationships/hyperlink" Target="https://litmus.com/folders/418112/emails/18808545/analytics" TargetMode="External"/><Relationship Id="rId165" Type="http://schemas.openxmlformats.org/officeDocument/2006/relationships/hyperlink" Target="https://experience.adobe.com/" TargetMode="External"/><Relationship Id="rId186" Type="http://schemas.openxmlformats.org/officeDocument/2006/relationships/hyperlink" Target="https://experience.adobe.com/" TargetMode="External"/><Relationship Id="rId211" Type="http://schemas.openxmlformats.org/officeDocument/2006/relationships/hyperlink" Target="https://experience.adobe.com/" TargetMode="External"/><Relationship Id="rId232" Type="http://schemas.openxmlformats.org/officeDocument/2006/relationships/hyperlink" Target="https://experience.adobe.com/" TargetMode="External"/><Relationship Id="rId253" Type="http://schemas.openxmlformats.org/officeDocument/2006/relationships/hyperlink" Target="https://litmus.com/folders/324180/emails/19386461/analytics" TargetMode="External"/><Relationship Id="rId274" Type="http://schemas.openxmlformats.org/officeDocument/2006/relationships/hyperlink" Target="https://experience.adobe.com/" TargetMode="External"/><Relationship Id="rId295" Type="http://schemas.openxmlformats.org/officeDocument/2006/relationships/hyperlink" Target="https://experience.adobe.com/" TargetMode="External"/><Relationship Id="rId309" Type="http://schemas.openxmlformats.org/officeDocument/2006/relationships/hyperlink" Target="https://experience.adobe.com/" TargetMode="External"/><Relationship Id="rId27" Type="http://schemas.openxmlformats.org/officeDocument/2006/relationships/hyperlink" Target="https://litmus.com/folders/324180/emails/18380262/analytics" TargetMode="External"/><Relationship Id="rId48" Type="http://schemas.openxmlformats.org/officeDocument/2006/relationships/hyperlink" Target="https://experience.adobe.com/" TargetMode="External"/><Relationship Id="rId69" Type="http://schemas.openxmlformats.org/officeDocument/2006/relationships/hyperlink" Target="https://litmus.com/folders/324180/emails/18965907/analytics" TargetMode="External"/><Relationship Id="rId113" Type="http://schemas.openxmlformats.org/officeDocument/2006/relationships/hyperlink" Target="https://litmus.com/folders/419116/emails/18956115/analytics" TargetMode="External"/><Relationship Id="rId134" Type="http://schemas.openxmlformats.org/officeDocument/2006/relationships/hyperlink" Target="https://experience.adobe.com/" TargetMode="External"/><Relationship Id="rId320" Type="http://schemas.openxmlformats.org/officeDocument/2006/relationships/hyperlink" Target="https://litmus.com/analytics?search=basic&amp;days=60" TargetMode="External"/><Relationship Id="rId80" Type="http://schemas.openxmlformats.org/officeDocument/2006/relationships/hyperlink" Target="https://experience.adobe.com/" TargetMode="External"/><Relationship Id="rId155" Type="http://schemas.openxmlformats.org/officeDocument/2006/relationships/hyperlink" Target="https://experience.adobe.com/" TargetMode="External"/><Relationship Id="rId176" Type="http://schemas.openxmlformats.org/officeDocument/2006/relationships/hyperlink" Target="https://experience.adobe.com/" TargetMode="External"/><Relationship Id="rId197" Type="http://schemas.openxmlformats.org/officeDocument/2006/relationships/hyperlink" Target="https://experience.adobe.com/" TargetMode="External"/><Relationship Id="rId341" Type="http://schemas.openxmlformats.org/officeDocument/2006/relationships/hyperlink" Target="https://litmus.com/folders/416254/emails/19414929/analytics" TargetMode="External"/><Relationship Id="rId201" Type="http://schemas.openxmlformats.org/officeDocument/2006/relationships/hyperlink" Target="https://experience.adobe.com/" TargetMode="External"/><Relationship Id="rId222" Type="http://schemas.openxmlformats.org/officeDocument/2006/relationships/hyperlink" Target="https://experience.adobe.com/" TargetMode="External"/><Relationship Id="rId243" Type="http://schemas.openxmlformats.org/officeDocument/2006/relationships/hyperlink" Target="https://experience.adobe.com/" TargetMode="External"/><Relationship Id="rId264" Type="http://schemas.openxmlformats.org/officeDocument/2006/relationships/hyperlink" Target="https://experience.adobe.com/" TargetMode="External"/><Relationship Id="rId285" Type="http://schemas.openxmlformats.org/officeDocument/2006/relationships/hyperlink" Target="https://litmus.com/folders/416254/emails/19189222/analytics" TargetMode="External"/><Relationship Id="rId17" Type="http://schemas.openxmlformats.org/officeDocument/2006/relationships/hyperlink" Target="https://experience.adobe.com/" TargetMode="External"/><Relationship Id="rId38" Type="http://schemas.openxmlformats.org/officeDocument/2006/relationships/hyperlink" Target="https://litmus.com/folders/324180/emails/18619780/analytics" TargetMode="External"/><Relationship Id="rId59" Type="http://schemas.openxmlformats.org/officeDocument/2006/relationships/hyperlink" Target="https://litmus.com/folders/324180/emails/18823361/analytics" TargetMode="External"/><Relationship Id="rId103" Type="http://schemas.openxmlformats.org/officeDocument/2006/relationships/hyperlink" Target="https://experience.adobe.com/" TargetMode="External"/><Relationship Id="rId124" Type="http://schemas.openxmlformats.org/officeDocument/2006/relationships/hyperlink" Target="https://experience.adobe.com/" TargetMode="External"/><Relationship Id="rId310" Type="http://schemas.openxmlformats.org/officeDocument/2006/relationships/hyperlink" Target="https://experience.adobe.com/" TargetMode="External"/><Relationship Id="rId70" Type="http://schemas.openxmlformats.org/officeDocument/2006/relationships/hyperlink" Target="https://experience.adobe.com/" TargetMode="External"/><Relationship Id="rId91" Type="http://schemas.openxmlformats.org/officeDocument/2006/relationships/hyperlink" Target="https://litmus.com/folders/418112/emails/18808822/analytics" TargetMode="External"/><Relationship Id="rId145" Type="http://schemas.openxmlformats.org/officeDocument/2006/relationships/hyperlink" Target="https://litmus.com/folders/372742/emails/16700910/analytics" TargetMode="External"/><Relationship Id="rId166" Type="http://schemas.openxmlformats.org/officeDocument/2006/relationships/hyperlink" Target="https://experience.adobe.com/" TargetMode="External"/><Relationship Id="rId187" Type="http://schemas.openxmlformats.org/officeDocument/2006/relationships/hyperlink" Target="https://experience.adobe.com/" TargetMode="External"/><Relationship Id="rId331" Type="http://schemas.openxmlformats.org/officeDocument/2006/relationships/hyperlink" Target="https://litmus.com/folders/324180/emails/19623966/analytics" TargetMode="External"/><Relationship Id="rId1" Type="http://schemas.openxmlformats.org/officeDocument/2006/relationships/hyperlink" Target="https://experience.adobe.com/" TargetMode="External"/><Relationship Id="rId212" Type="http://schemas.openxmlformats.org/officeDocument/2006/relationships/hyperlink" Target="https://experience.adobe.com/" TargetMode="External"/><Relationship Id="rId233" Type="http://schemas.openxmlformats.org/officeDocument/2006/relationships/hyperlink" Target="https://experience.adobe.com/" TargetMode="External"/><Relationship Id="rId254" Type="http://schemas.openxmlformats.org/officeDocument/2006/relationships/hyperlink" Target="https://experience.adobe.com/" TargetMode="External"/><Relationship Id="rId28" Type="http://schemas.openxmlformats.org/officeDocument/2006/relationships/hyperlink" Target="https://litmus.com/folders/324180/emails/18300323/analytics" TargetMode="External"/><Relationship Id="rId49" Type="http://schemas.openxmlformats.org/officeDocument/2006/relationships/hyperlink" Target="https://experience.adobe.com/" TargetMode="External"/><Relationship Id="rId114" Type="http://schemas.openxmlformats.org/officeDocument/2006/relationships/hyperlink" Target="https://experience.adobe.com/" TargetMode="External"/><Relationship Id="rId275" Type="http://schemas.openxmlformats.org/officeDocument/2006/relationships/hyperlink" Target="https://litmus.com/folders/416254/emails/19189222/analytics" TargetMode="External"/><Relationship Id="rId296" Type="http://schemas.openxmlformats.org/officeDocument/2006/relationships/hyperlink" Target="https://experience.adobe.com/" TargetMode="External"/><Relationship Id="rId300" Type="http://schemas.openxmlformats.org/officeDocument/2006/relationships/hyperlink" Target="https://experience.adobe.com/" TargetMode="External"/><Relationship Id="rId60" Type="http://schemas.openxmlformats.org/officeDocument/2006/relationships/hyperlink" Target="https://experience.adobe.com/" TargetMode="External"/><Relationship Id="rId81" Type="http://schemas.openxmlformats.org/officeDocument/2006/relationships/hyperlink" Target="https://experience.adobe.com/" TargetMode="External"/><Relationship Id="rId135" Type="http://schemas.openxmlformats.org/officeDocument/2006/relationships/hyperlink" Target="https://experience.adobe.com/" TargetMode="External"/><Relationship Id="rId156" Type="http://schemas.openxmlformats.org/officeDocument/2006/relationships/hyperlink" Target="https://experience.adobe.com/" TargetMode="External"/><Relationship Id="rId177" Type="http://schemas.openxmlformats.org/officeDocument/2006/relationships/hyperlink" Target="https://experience.adobe.com/" TargetMode="External"/><Relationship Id="rId198" Type="http://schemas.openxmlformats.org/officeDocument/2006/relationships/hyperlink" Target="https://experience.adobe.com/" TargetMode="External"/><Relationship Id="rId321" Type="http://schemas.openxmlformats.org/officeDocument/2006/relationships/hyperlink" Target="https://litmus.com/analytics?search=basic&amp;days=60" TargetMode="External"/><Relationship Id="rId342" Type="http://schemas.openxmlformats.org/officeDocument/2006/relationships/vmlDrawing" Target="../drawings/vmlDrawing1.vml"/><Relationship Id="rId202" Type="http://schemas.openxmlformats.org/officeDocument/2006/relationships/hyperlink" Target="https://litmus.com/folders/308698/emails/13915034/analytics" TargetMode="External"/><Relationship Id="rId223" Type="http://schemas.openxmlformats.org/officeDocument/2006/relationships/hyperlink" Target="https://experience.adobe.com/" TargetMode="External"/><Relationship Id="rId244" Type="http://schemas.openxmlformats.org/officeDocument/2006/relationships/hyperlink" Target="https://experience.adobe.com/" TargetMode="External"/><Relationship Id="rId18" Type="http://schemas.openxmlformats.org/officeDocument/2006/relationships/hyperlink" Target="https://experience.adobe.com/" TargetMode="External"/><Relationship Id="rId39" Type="http://schemas.openxmlformats.org/officeDocument/2006/relationships/hyperlink" Target="https://litmus.com/folders/324180/emails/18619775/analytics" TargetMode="External"/><Relationship Id="rId265" Type="http://schemas.openxmlformats.org/officeDocument/2006/relationships/hyperlink" Target="https://experience.adobe.com/" TargetMode="External"/><Relationship Id="rId286" Type="http://schemas.openxmlformats.org/officeDocument/2006/relationships/hyperlink" Target="https://litmus.com/folders/416254/emails/19189222/analytics" TargetMode="External"/><Relationship Id="rId50" Type="http://schemas.openxmlformats.org/officeDocument/2006/relationships/hyperlink" Target="https://litmus.com/folders/358386/emails/18527135/analytics" TargetMode="External"/><Relationship Id="rId104" Type="http://schemas.openxmlformats.org/officeDocument/2006/relationships/hyperlink" Target="https://litmus.com/folders/419116/emails/18877130/analytics" TargetMode="External"/><Relationship Id="rId125" Type="http://schemas.openxmlformats.org/officeDocument/2006/relationships/hyperlink" Target="https://litmus.com/folders/420447/emails/19098417/analytics" TargetMode="External"/><Relationship Id="rId146" Type="http://schemas.openxmlformats.org/officeDocument/2006/relationships/hyperlink" Target="https://experience.adobe.com/" TargetMode="External"/><Relationship Id="rId167" Type="http://schemas.openxmlformats.org/officeDocument/2006/relationships/hyperlink" Target="https://experience.adobe.com/" TargetMode="External"/><Relationship Id="rId188" Type="http://schemas.openxmlformats.org/officeDocument/2006/relationships/hyperlink" Target="https://experience.adobe.com/" TargetMode="External"/><Relationship Id="rId311" Type="http://schemas.openxmlformats.org/officeDocument/2006/relationships/hyperlink" Target="https://experience.adobe.com/" TargetMode="External"/><Relationship Id="rId332" Type="http://schemas.openxmlformats.org/officeDocument/2006/relationships/hyperlink" Target="https://litmus.com/folders/324180/emails/19623965/analytics" TargetMode="External"/><Relationship Id="rId71" Type="http://schemas.openxmlformats.org/officeDocument/2006/relationships/hyperlink" Target="https://experience.adobe.com/" TargetMode="External"/><Relationship Id="rId92" Type="http://schemas.openxmlformats.org/officeDocument/2006/relationships/hyperlink" Target="https://litmus.com/folders/418112/emails/18808813/analytics" TargetMode="External"/><Relationship Id="rId213" Type="http://schemas.openxmlformats.org/officeDocument/2006/relationships/hyperlink" Target="https://experience.adobe.com/" TargetMode="External"/><Relationship Id="rId234" Type="http://schemas.openxmlformats.org/officeDocument/2006/relationships/hyperlink" Target="https://experience.adobe.com/" TargetMode="External"/><Relationship Id="rId2" Type="http://schemas.openxmlformats.org/officeDocument/2006/relationships/hyperlink" Target="https://experience.adobe.com/" TargetMode="External"/><Relationship Id="rId29" Type="http://schemas.openxmlformats.org/officeDocument/2006/relationships/hyperlink" Target="https://litmus.com/folders/324180/emails/18300326/analytics" TargetMode="External"/><Relationship Id="rId255" Type="http://schemas.openxmlformats.org/officeDocument/2006/relationships/hyperlink" Target="https://litmus.com/folders/324180/emails/19386462/analytics" TargetMode="External"/><Relationship Id="rId276" Type="http://schemas.openxmlformats.org/officeDocument/2006/relationships/hyperlink" Target="https://litmus.com/folders/416254/emails/19189222/analytics" TargetMode="External"/><Relationship Id="rId297" Type="http://schemas.openxmlformats.org/officeDocument/2006/relationships/hyperlink" Target="https://experience.adobe.com/" TargetMode="External"/><Relationship Id="rId40" Type="http://schemas.openxmlformats.org/officeDocument/2006/relationships/hyperlink" Target="https://litmus.com/folders/324180/emails/18679502/analytics" TargetMode="External"/><Relationship Id="rId115" Type="http://schemas.openxmlformats.org/officeDocument/2006/relationships/hyperlink" Target="https://litmus.com/folders/324180/emails/19029860/analytics" TargetMode="External"/><Relationship Id="rId136" Type="http://schemas.openxmlformats.org/officeDocument/2006/relationships/hyperlink" Target="https://experience.adobe.com/" TargetMode="External"/><Relationship Id="rId157" Type="http://schemas.openxmlformats.org/officeDocument/2006/relationships/hyperlink" Target="https://experience.adobe.com/" TargetMode="External"/><Relationship Id="rId178" Type="http://schemas.openxmlformats.org/officeDocument/2006/relationships/hyperlink" Target="https://experience.adobe.com/" TargetMode="External"/><Relationship Id="rId301" Type="http://schemas.openxmlformats.org/officeDocument/2006/relationships/hyperlink" Target="https://experience.adobe.com/" TargetMode="External"/><Relationship Id="rId322" Type="http://schemas.openxmlformats.org/officeDocument/2006/relationships/hyperlink" Target="https://litmus.com/analytics?search=basic&amp;days=60" TargetMode="External"/><Relationship Id="rId343" Type="http://schemas.openxmlformats.org/officeDocument/2006/relationships/table" Target="../tables/table1.xml"/><Relationship Id="rId61" Type="http://schemas.openxmlformats.org/officeDocument/2006/relationships/hyperlink" Target="https://litmus.com/folders/366549/emails/18737825/analytics" TargetMode="External"/><Relationship Id="rId82" Type="http://schemas.openxmlformats.org/officeDocument/2006/relationships/hyperlink" Target="https://experience.adobe.com/" TargetMode="External"/><Relationship Id="rId199" Type="http://schemas.openxmlformats.org/officeDocument/2006/relationships/hyperlink" Target="https://experience.adobe.com/" TargetMode="External"/><Relationship Id="rId203" Type="http://schemas.openxmlformats.org/officeDocument/2006/relationships/hyperlink" Target="https://experience.adobe.com/" TargetMode="External"/><Relationship Id="rId19" Type="http://schemas.openxmlformats.org/officeDocument/2006/relationships/hyperlink" Target="https://experience.adobe.com/" TargetMode="External"/><Relationship Id="rId224" Type="http://schemas.openxmlformats.org/officeDocument/2006/relationships/hyperlink" Target="https://experience.adobe.com/" TargetMode="External"/><Relationship Id="rId245" Type="http://schemas.openxmlformats.org/officeDocument/2006/relationships/hyperlink" Target="https://experience.adobe.com/" TargetMode="External"/><Relationship Id="rId266" Type="http://schemas.openxmlformats.org/officeDocument/2006/relationships/hyperlink" Target="https://experience.adobe.com/" TargetMode="External"/><Relationship Id="rId287" Type="http://schemas.openxmlformats.org/officeDocument/2006/relationships/hyperlink" Target="https://litmus.com/folders/416254/emails/19414929/analytics" TargetMode="External"/><Relationship Id="rId30" Type="http://schemas.openxmlformats.org/officeDocument/2006/relationships/hyperlink" Target="https://litmus.com/folders/324180/emails/18452986/analytics" TargetMode="External"/><Relationship Id="rId105" Type="http://schemas.openxmlformats.org/officeDocument/2006/relationships/hyperlink" Target="https://litmus.com/folders/419116/emails/18877094/analytics" TargetMode="External"/><Relationship Id="rId126" Type="http://schemas.openxmlformats.org/officeDocument/2006/relationships/hyperlink" Target="https://experience.adobe.com/" TargetMode="External"/><Relationship Id="rId147" Type="http://schemas.openxmlformats.org/officeDocument/2006/relationships/hyperlink" Target="https://experience.adobe.com/" TargetMode="External"/><Relationship Id="rId168" Type="http://schemas.openxmlformats.org/officeDocument/2006/relationships/hyperlink" Target="https://experience.adobe.com/" TargetMode="External"/><Relationship Id="rId312" Type="http://schemas.openxmlformats.org/officeDocument/2006/relationships/hyperlink" Target="https://experience.adobe.com/" TargetMode="External"/><Relationship Id="rId333" Type="http://schemas.openxmlformats.org/officeDocument/2006/relationships/hyperlink" Target="https://experience.adobe.com/" TargetMode="External"/><Relationship Id="rId51" Type="http://schemas.openxmlformats.org/officeDocument/2006/relationships/hyperlink" Target="https://litmus.com/folders/324180/emails/18752356/analytics" TargetMode="External"/><Relationship Id="rId72" Type="http://schemas.openxmlformats.org/officeDocument/2006/relationships/hyperlink" Target="https://litmus.com/folders/324180/emails/18752012/analytics" TargetMode="External"/><Relationship Id="rId93" Type="http://schemas.openxmlformats.org/officeDocument/2006/relationships/hyperlink" Target="https://litmus.com/folders/418112/emails/18808542/analytics" TargetMode="External"/><Relationship Id="rId189" Type="http://schemas.openxmlformats.org/officeDocument/2006/relationships/hyperlink" Target="https://experience.adobe.com/" TargetMode="External"/><Relationship Id="rId3" Type="http://schemas.openxmlformats.org/officeDocument/2006/relationships/hyperlink" Target="https://experience.adobe.com/" TargetMode="External"/><Relationship Id="rId214" Type="http://schemas.openxmlformats.org/officeDocument/2006/relationships/hyperlink" Target="https://experience.adobe.com/" TargetMode="External"/><Relationship Id="rId235" Type="http://schemas.openxmlformats.org/officeDocument/2006/relationships/hyperlink" Target="https://experience.adobe.com/" TargetMode="External"/><Relationship Id="rId256" Type="http://schemas.openxmlformats.org/officeDocument/2006/relationships/hyperlink" Target="https://experience.adobe.com/" TargetMode="External"/><Relationship Id="rId277" Type="http://schemas.openxmlformats.org/officeDocument/2006/relationships/hyperlink" Target="https://litmus.com/folders/416254/emails/19189222/analytics" TargetMode="External"/><Relationship Id="rId298" Type="http://schemas.openxmlformats.org/officeDocument/2006/relationships/hyperlink" Target="https://experience.adobe.com/" TargetMode="External"/><Relationship Id="rId116" Type="http://schemas.openxmlformats.org/officeDocument/2006/relationships/hyperlink" Target="https://experience.adobe.com/" TargetMode="External"/><Relationship Id="rId137" Type="http://schemas.openxmlformats.org/officeDocument/2006/relationships/hyperlink" Target="https://experience.adobe.com/" TargetMode="External"/><Relationship Id="rId158" Type="http://schemas.openxmlformats.org/officeDocument/2006/relationships/hyperlink" Target="https://experience.adobe.com/" TargetMode="External"/><Relationship Id="rId302" Type="http://schemas.openxmlformats.org/officeDocument/2006/relationships/hyperlink" Target="https://experience.adobe.com/" TargetMode="External"/><Relationship Id="rId323" Type="http://schemas.openxmlformats.org/officeDocument/2006/relationships/hyperlink" Target="https://litmus.com/analytics?search=basic&amp;days=60" TargetMode="External"/><Relationship Id="rId344" Type="http://schemas.openxmlformats.org/officeDocument/2006/relationships/comments" Target="../comments1.xml"/><Relationship Id="rId20" Type="http://schemas.openxmlformats.org/officeDocument/2006/relationships/hyperlink" Target="https://experience.adobe.com/" TargetMode="External"/><Relationship Id="rId41" Type="http://schemas.openxmlformats.org/officeDocument/2006/relationships/hyperlink" Target="https://litmus.com/folders/324180/emails/18679501/analytics" TargetMode="External"/><Relationship Id="rId62" Type="http://schemas.openxmlformats.org/officeDocument/2006/relationships/hyperlink" Target="https://experience.adobe.com/" TargetMode="External"/><Relationship Id="rId83" Type="http://schemas.openxmlformats.org/officeDocument/2006/relationships/hyperlink" Target="https://experience.adobe.com/" TargetMode="External"/><Relationship Id="rId179" Type="http://schemas.openxmlformats.org/officeDocument/2006/relationships/hyperlink" Target="https://experience.adobe.com/" TargetMode="External"/><Relationship Id="rId190" Type="http://schemas.openxmlformats.org/officeDocument/2006/relationships/hyperlink" Target="https://experience.adobe.com/" TargetMode="External"/><Relationship Id="rId204" Type="http://schemas.openxmlformats.org/officeDocument/2006/relationships/hyperlink" Target="https://experience.adobe.com/" TargetMode="External"/><Relationship Id="rId225" Type="http://schemas.openxmlformats.org/officeDocument/2006/relationships/hyperlink" Target="https://experience.adobe.com/" TargetMode="External"/><Relationship Id="rId246" Type="http://schemas.openxmlformats.org/officeDocument/2006/relationships/hyperlink" Target="https://experience.adobe.com/" TargetMode="External"/><Relationship Id="rId267" Type="http://schemas.openxmlformats.org/officeDocument/2006/relationships/hyperlink" Target="https://experience.adobe.com/" TargetMode="External"/><Relationship Id="rId288" Type="http://schemas.openxmlformats.org/officeDocument/2006/relationships/hyperlink" Target="https://litmus.com/folders/429312/emails/19314145/analytics" TargetMode="External"/><Relationship Id="rId106" Type="http://schemas.openxmlformats.org/officeDocument/2006/relationships/hyperlink" Target="https://litmus.com/folders/419116/emails/18808667/analytics" TargetMode="External"/><Relationship Id="rId127" Type="http://schemas.openxmlformats.org/officeDocument/2006/relationships/hyperlink" Target="https://experience.adobe.com/" TargetMode="External"/><Relationship Id="rId313" Type="http://schemas.openxmlformats.org/officeDocument/2006/relationships/hyperlink" Target="https://experience.adobe.com/" TargetMode="External"/><Relationship Id="rId10" Type="http://schemas.openxmlformats.org/officeDocument/2006/relationships/hyperlink" Target="https://experience.adobe.com/" TargetMode="External"/><Relationship Id="rId31" Type="http://schemas.openxmlformats.org/officeDocument/2006/relationships/hyperlink" Target="https://litmus.com/folders/324180/emails/18452988/analytics" TargetMode="External"/><Relationship Id="rId52" Type="http://schemas.openxmlformats.org/officeDocument/2006/relationships/hyperlink" Target="https://experience.adobe.com/" TargetMode="External"/><Relationship Id="rId73" Type="http://schemas.openxmlformats.org/officeDocument/2006/relationships/hyperlink" Target="https://litmus.com/folders/366549/emails/18664429/analytics" TargetMode="External"/><Relationship Id="rId94" Type="http://schemas.openxmlformats.org/officeDocument/2006/relationships/hyperlink" Target="https://litmus.com/folders/418112/emails/18808544/analytics" TargetMode="External"/><Relationship Id="rId148" Type="http://schemas.openxmlformats.org/officeDocument/2006/relationships/hyperlink" Target="https://experience.adobe.com/" TargetMode="External"/><Relationship Id="rId169" Type="http://schemas.openxmlformats.org/officeDocument/2006/relationships/hyperlink" Target="https://experience.adobe.com/" TargetMode="External"/><Relationship Id="rId334" Type="http://schemas.openxmlformats.org/officeDocument/2006/relationships/hyperlink" Target="https://experience.adobe.com/" TargetMode="External"/><Relationship Id="rId4" Type="http://schemas.openxmlformats.org/officeDocument/2006/relationships/hyperlink" Target="https://experience.adobe.com/" TargetMode="External"/><Relationship Id="rId180" Type="http://schemas.openxmlformats.org/officeDocument/2006/relationships/hyperlink" Target="https://experience.adobe.com/" TargetMode="External"/><Relationship Id="rId215" Type="http://schemas.openxmlformats.org/officeDocument/2006/relationships/hyperlink" Target="https://experience.adobe.com/" TargetMode="External"/><Relationship Id="rId236" Type="http://schemas.openxmlformats.org/officeDocument/2006/relationships/hyperlink" Target="https://experience.adobe.com/" TargetMode="External"/><Relationship Id="rId257" Type="http://schemas.openxmlformats.org/officeDocument/2006/relationships/hyperlink" Target="https://experience.adobe.com/" TargetMode="External"/><Relationship Id="rId278" Type="http://schemas.openxmlformats.org/officeDocument/2006/relationships/hyperlink" Target="https://litmus.com/folders/429312/emails/19314145/analytics" TargetMode="External"/><Relationship Id="rId303" Type="http://schemas.openxmlformats.org/officeDocument/2006/relationships/hyperlink" Target="https://experience.adobe.com/" TargetMode="External"/><Relationship Id="rId42" Type="http://schemas.openxmlformats.org/officeDocument/2006/relationships/hyperlink" Target="https://experience.adobe.com/" TargetMode="External"/><Relationship Id="rId84" Type="http://schemas.openxmlformats.org/officeDocument/2006/relationships/hyperlink" Target="https://experience.adobe.com/" TargetMode="External"/><Relationship Id="rId138" Type="http://schemas.openxmlformats.org/officeDocument/2006/relationships/hyperlink" Target="https://experience.adobe.com/" TargetMode="External"/><Relationship Id="rId191" Type="http://schemas.openxmlformats.org/officeDocument/2006/relationships/hyperlink" Target="https://experience.adobe.com/" TargetMode="External"/><Relationship Id="rId205" Type="http://schemas.openxmlformats.org/officeDocument/2006/relationships/hyperlink" Target="https://litmus.com/folders/416254/emails/19097350/analytics" TargetMode="External"/><Relationship Id="rId247" Type="http://schemas.openxmlformats.org/officeDocument/2006/relationships/hyperlink" Target="https://experience.adobe.com/" TargetMode="External"/><Relationship Id="rId107" Type="http://schemas.openxmlformats.org/officeDocument/2006/relationships/hyperlink" Target="https://litmus.com/folders/419116/emails/18877130/analytics" TargetMode="External"/><Relationship Id="rId289" Type="http://schemas.openxmlformats.org/officeDocument/2006/relationships/hyperlink" Target="https://experience.adobe.com/" TargetMode="External"/><Relationship Id="rId11" Type="http://schemas.openxmlformats.org/officeDocument/2006/relationships/hyperlink" Target="https://experience.adobe.com/" TargetMode="External"/><Relationship Id="rId53" Type="http://schemas.openxmlformats.org/officeDocument/2006/relationships/hyperlink" Target="https://experience.adobe.com/" TargetMode="External"/><Relationship Id="rId149" Type="http://schemas.openxmlformats.org/officeDocument/2006/relationships/hyperlink" Target="https://experience.adobe.com/" TargetMode="External"/><Relationship Id="rId314" Type="http://schemas.openxmlformats.org/officeDocument/2006/relationships/hyperlink" Target="https://experience.adobe.com/" TargetMode="External"/><Relationship Id="rId95" Type="http://schemas.openxmlformats.org/officeDocument/2006/relationships/hyperlink" Target="https://litmus.com/folders/418112/emails/18808537/analytics" TargetMode="External"/><Relationship Id="rId160" Type="http://schemas.openxmlformats.org/officeDocument/2006/relationships/hyperlink" Target="https://experience.adobe.com/" TargetMode="External"/><Relationship Id="rId216" Type="http://schemas.openxmlformats.org/officeDocument/2006/relationships/hyperlink" Target="https://experience.adobe.com/" TargetMode="External"/><Relationship Id="rId258" Type="http://schemas.openxmlformats.org/officeDocument/2006/relationships/hyperlink" Target="https://experience.adobe.com/" TargetMode="External"/><Relationship Id="rId22" Type="http://schemas.openxmlformats.org/officeDocument/2006/relationships/hyperlink" Target="https://experience.adobe.com/" TargetMode="External"/><Relationship Id="rId64" Type="http://schemas.openxmlformats.org/officeDocument/2006/relationships/hyperlink" Target="https://litmus.com/folders/324180/emails/18892611/analytics" TargetMode="External"/><Relationship Id="rId118" Type="http://schemas.openxmlformats.org/officeDocument/2006/relationships/hyperlink" Target="https://experience.adobe.com/" TargetMode="External"/><Relationship Id="rId325" Type="http://schemas.openxmlformats.org/officeDocument/2006/relationships/hyperlink" Target="https://experience.adobe.com/" TargetMode="External"/><Relationship Id="rId171" Type="http://schemas.openxmlformats.org/officeDocument/2006/relationships/hyperlink" Target="https://experience.adobe.com/" TargetMode="External"/><Relationship Id="rId227" Type="http://schemas.openxmlformats.org/officeDocument/2006/relationships/hyperlink" Target="https://litmus.com/folders/324180/emails/19371176/analytics" TargetMode="External"/><Relationship Id="rId269" Type="http://schemas.openxmlformats.org/officeDocument/2006/relationships/hyperlink" Target="https://experience.adobe.com/" TargetMode="External"/><Relationship Id="rId33" Type="http://schemas.openxmlformats.org/officeDocument/2006/relationships/hyperlink" Target="https://litmus.com/folders/324180/emails/18452759/analytics" TargetMode="External"/><Relationship Id="rId129" Type="http://schemas.openxmlformats.org/officeDocument/2006/relationships/hyperlink" Target="https://litmus.com/folders/324180/emails/18892607/analytics" TargetMode="External"/><Relationship Id="rId280" Type="http://schemas.openxmlformats.org/officeDocument/2006/relationships/hyperlink" Target="https://litmus.com/folders/416254/emails/19189222/analytics" TargetMode="External"/><Relationship Id="rId336" Type="http://schemas.openxmlformats.org/officeDocument/2006/relationships/hyperlink" Target="https://litmus.com/folders/324180/emails/19869016/analytics" TargetMode="External"/><Relationship Id="rId75" Type="http://schemas.openxmlformats.org/officeDocument/2006/relationships/hyperlink" Target="https://experience.adobe.com/" TargetMode="External"/><Relationship Id="rId140" Type="http://schemas.openxmlformats.org/officeDocument/2006/relationships/hyperlink" Target="https://experience.adobe.com/" TargetMode="External"/><Relationship Id="rId182" Type="http://schemas.openxmlformats.org/officeDocument/2006/relationships/hyperlink" Target="https://experience.adobe.com/" TargetMode="External"/><Relationship Id="rId6" Type="http://schemas.openxmlformats.org/officeDocument/2006/relationships/hyperlink" Target="https://experience.adobe.com/" TargetMode="External"/><Relationship Id="rId238" Type="http://schemas.openxmlformats.org/officeDocument/2006/relationships/hyperlink" Target="https://experience.adobe.com/" TargetMode="External"/><Relationship Id="rId291" Type="http://schemas.openxmlformats.org/officeDocument/2006/relationships/hyperlink" Target="https://experience.adobe.com/" TargetMode="External"/><Relationship Id="rId305" Type="http://schemas.openxmlformats.org/officeDocument/2006/relationships/hyperlink" Target="https://experience.adobe.com/" TargetMode="External"/><Relationship Id="rId44" Type="http://schemas.openxmlformats.org/officeDocument/2006/relationships/hyperlink" Target="https://experience.adobe.com/" TargetMode="External"/><Relationship Id="rId86" Type="http://schemas.openxmlformats.org/officeDocument/2006/relationships/hyperlink" Target="https://experience.adobe.com/" TargetMode="External"/><Relationship Id="rId151" Type="http://schemas.openxmlformats.org/officeDocument/2006/relationships/hyperlink" Target="https://experience.adobe.com/" TargetMode="External"/><Relationship Id="rId193" Type="http://schemas.openxmlformats.org/officeDocument/2006/relationships/hyperlink" Target="https://experience.adobe.com/" TargetMode="External"/><Relationship Id="rId207" Type="http://schemas.openxmlformats.org/officeDocument/2006/relationships/hyperlink" Target="https://experience.adobe.com/" TargetMode="External"/><Relationship Id="rId249" Type="http://schemas.openxmlformats.org/officeDocument/2006/relationships/hyperlink" Target="https://litmus.com/folders/366549/emails/19127170/analytics" TargetMode="External"/><Relationship Id="rId13" Type="http://schemas.openxmlformats.org/officeDocument/2006/relationships/hyperlink" Target="https://experience.adobe.com/" TargetMode="External"/><Relationship Id="rId109" Type="http://schemas.openxmlformats.org/officeDocument/2006/relationships/hyperlink" Target="https://litmus.com/folders/419116/emails/18808667/analytics" TargetMode="External"/><Relationship Id="rId260" Type="http://schemas.openxmlformats.org/officeDocument/2006/relationships/hyperlink" Target="https://experience.adobe.com/" TargetMode="External"/><Relationship Id="rId316" Type="http://schemas.openxmlformats.org/officeDocument/2006/relationships/hyperlink" Target="https://experience.adobe.com/" TargetMode="External"/><Relationship Id="rId55" Type="http://schemas.openxmlformats.org/officeDocument/2006/relationships/hyperlink" Target="https://litmus.com/folders/366549/emails/18664429/analytics" TargetMode="External"/><Relationship Id="rId97" Type="http://schemas.openxmlformats.org/officeDocument/2006/relationships/hyperlink" Target="https://experience.adobe.com/" TargetMode="External"/><Relationship Id="rId120" Type="http://schemas.openxmlformats.org/officeDocument/2006/relationships/hyperlink" Target="https://litmus.com/folders/324180/emails/19043996/analytics" TargetMode="External"/><Relationship Id="rId162" Type="http://schemas.openxmlformats.org/officeDocument/2006/relationships/hyperlink" Target="https://experience.adobe.com/" TargetMode="External"/><Relationship Id="rId218" Type="http://schemas.openxmlformats.org/officeDocument/2006/relationships/hyperlink" Target="https://experience.adobe.com/" TargetMode="External"/><Relationship Id="rId271" Type="http://schemas.openxmlformats.org/officeDocument/2006/relationships/hyperlink" Target="https://experience.adobe.com/" TargetMode="External"/><Relationship Id="rId24" Type="http://schemas.openxmlformats.org/officeDocument/2006/relationships/hyperlink" Target="https://experience.adobe.com/" TargetMode="External"/><Relationship Id="rId66" Type="http://schemas.openxmlformats.org/officeDocument/2006/relationships/hyperlink" Target="https://experience.adobe.com/" TargetMode="External"/><Relationship Id="rId131" Type="http://schemas.openxmlformats.org/officeDocument/2006/relationships/hyperlink" Target="https://experience.adobe.com/" TargetMode="External"/><Relationship Id="rId327" Type="http://schemas.openxmlformats.org/officeDocument/2006/relationships/hyperlink" Target="https://litmus.com/folders/438568/emails/19637767/analytics" TargetMode="External"/><Relationship Id="rId173" Type="http://schemas.openxmlformats.org/officeDocument/2006/relationships/hyperlink" Target="https://experience.adobe.com/" TargetMode="External"/><Relationship Id="rId229" Type="http://schemas.openxmlformats.org/officeDocument/2006/relationships/hyperlink" Target="https://litmus.com/folders/324180/emails/19386461/analytic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litmus.com/folders/429312/emails/19314145/analytics" TargetMode="External"/><Relationship Id="rId3" Type="http://schemas.openxmlformats.org/officeDocument/2006/relationships/hyperlink" Target="https://litmus.com/folders/416254/emails/19189222/analytics" TargetMode="External"/><Relationship Id="rId7" Type="http://schemas.openxmlformats.org/officeDocument/2006/relationships/hyperlink" Target="https://litmus.com/folders/429312/emails/19314145/analytics" TargetMode="External"/><Relationship Id="rId2" Type="http://schemas.openxmlformats.org/officeDocument/2006/relationships/hyperlink" Target="https://litmus.com/folders/416254/emails/19189222/analytics" TargetMode="External"/><Relationship Id="rId1" Type="http://schemas.openxmlformats.org/officeDocument/2006/relationships/hyperlink" Target="https://litmus.com/folders/416254/emails/19189222/analytics" TargetMode="External"/><Relationship Id="rId6" Type="http://schemas.openxmlformats.org/officeDocument/2006/relationships/hyperlink" Target="https://litmus.com/folders/429312/emails/19314145/analytics" TargetMode="External"/><Relationship Id="rId5" Type="http://schemas.openxmlformats.org/officeDocument/2006/relationships/hyperlink" Target="https://litmus.com/folders/416254/emails/19189222/analytics" TargetMode="External"/><Relationship Id="rId10" Type="http://schemas.openxmlformats.org/officeDocument/2006/relationships/hyperlink" Target="https://experience.adobe.com/" TargetMode="External"/><Relationship Id="rId4" Type="http://schemas.openxmlformats.org/officeDocument/2006/relationships/hyperlink" Target="https://litmus.com/folders/416254/emails/19189222/analytics" TargetMode="External"/><Relationship Id="rId9" Type="http://schemas.openxmlformats.org/officeDocument/2006/relationships/hyperlink" Target="https://litmus.com/folders/416254/emails/19414929/analytic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CF1A7-A843-E143-B142-84B9EDCB7AA1}">
  <dimension ref="A1:T266"/>
  <sheetViews>
    <sheetView tabSelected="1" workbookViewId="0">
      <pane ySplit="1" topLeftCell="K255" activePane="bottomLeft" state="frozen"/>
      <selection pane="bottomLeft" activeCell="S267" sqref="S267"/>
    </sheetView>
  </sheetViews>
  <sheetFormatPr defaultColWidth="10.875" defaultRowHeight="32.1" customHeight="1"/>
  <cols>
    <col min="1" max="1" width="10.625" style="83" customWidth="1"/>
    <col min="2" max="2" width="59" style="147" customWidth="1"/>
    <col min="3" max="3" width="28.875" style="71" bestFit="1" customWidth="1"/>
    <col min="4" max="4" width="15.25" style="17" bestFit="1" customWidth="1"/>
    <col min="5" max="5" width="20.75" style="17" customWidth="1"/>
    <col min="6" max="6" width="14.75" style="17" customWidth="1"/>
    <col min="7" max="7" width="15.375" style="42" customWidth="1"/>
    <col min="8" max="8" width="15.375" style="43" customWidth="1"/>
    <col min="9" max="9" width="15.125" style="43" customWidth="1"/>
    <col min="10" max="10" width="11.5" style="42" customWidth="1"/>
    <col min="11" max="11" width="15.375" style="18" customWidth="1"/>
    <col min="12" max="12" width="18.25" style="12" bestFit="1" customWidth="1"/>
    <col min="13" max="15" width="21" style="32" customWidth="1"/>
    <col min="16" max="16" width="13.875" style="32" bestFit="1" customWidth="1"/>
    <col min="17" max="17" width="17.125" style="18" customWidth="1"/>
    <col min="18" max="18" width="15.625" style="132" bestFit="1" customWidth="1"/>
    <col min="19" max="19" width="15.625" style="12" bestFit="1" customWidth="1"/>
    <col min="20" max="20" width="74.625" style="133" customWidth="1"/>
    <col min="21" max="16384" width="10.875" style="12"/>
  </cols>
  <sheetData>
    <row r="1" spans="1:20" s="4" customFormat="1" ht="32.1" customHeight="1">
      <c r="A1" s="51" t="s">
        <v>0</v>
      </c>
      <c r="B1" s="134" t="s">
        <v>1</v>
      </c>
      <c r="C1" s="65" t="s">
        <v>2</v>
      </c>
      <c r="D1" s="1" t="s">
        <v>3</v>
      </c>
      <c r="E1" s="1" t="s">
        <v>4</v>
      </c>
      <c r="F1" s="1" t="s">
        <v>5</v>
      </c>
      <c r="G1" s="2" t="s">
        <v>6</v>
      </c>
      <c r="H1" s="22" t="s">
        <v>7</v>
      </c>
      <c r="I1" s="26" t="s">
        <v>8</v>
      </c>
      <c r="J1" s="2" t="s">
        <v>9</v>
      </c>
      <c r="K1" s="33" t="s">
        <v>10</v>
      </c>
      <c r="L1" s="3" t="s">
        <v>11</v>
      </c>
      <c r="M1" s="30" t="s">
        <v>12</v>
      </c>
      <c r="N1" s="30" t="s">
        <v>13</v>
      </c>
      <c r="O1" s="30" t="s">
        <v>14</v>
      </c>
      <c r="P1" s="30" t="s">
        <v>15</v>
      </c>
      <c r="Q1" s="125" t="s">
        <v>16</v>
      </c>
      <c r="R1" s="125" t="s">
        <v>17</v>
      </c>
      <c r="S1" s="125" t="s">
        <v>18</v>
      </c>
      <c r="T1" s="126" t="s">
        <v>19</v>
      </c>
    </row>
    <row r="2" spans="1:20" s="8" customFormat="1" ht="32.1" customHeight="1">
      <c r="A2" s="72">
        <v>14</v>
      </c>
      <c r="B2" s="135" t="s">
        <v>20</v>
      </c>
      <c r="C2" s="66">
        <v>45839</v>
      </c>
      <c r="D2" s="61" t="s">
        <v>21</v>
      </c>
      <c r="E2" s="55" t="s">
        <v>22</v>
      </c>
      <c r="F2" s="52" t="s">
        <v>23</v>
      </c>
      <c r="G2" s="5">
        <v>2159</v>
      </c>
      <c r="H2" s="23">
        <v>2672</v>
      </c>
      <c r="I2" s="27">
        <v>66</v>
      </c>
      <c r="J2" s="7">
        <v>14</v>
      </c>
      <c r="K2" s="34">
        <f>(Table1[[#This Row],[unsub]]/Table1[[#This Row],[unique-sends]])*100</f>
        <v>0.64844835572024084</v>
      </c>
      <c r="L2" s="6">
        <f>Table1[[#This Row],[unique-opens]] / Table1[[#This Row],[unique-sends]] * 100</f>
        <v>123.7610004631774</v>
      </c>
      <c r="M2" s="31">
        <f>Table1[[#This Row],[unique-clicks]] / Table1[[#This Row],[unique-sends]] * 100</f>
        <v>3.0569708198239924</v>
      </c>
      <c r="N2" s="31">
        <f>Table1[[#This Row],[unique-clicks]] / Table1[[#This Row],[unique-opens]] * 100</f>
        <v>2.4700598802395208</v>
      </c>
      <c r="O2" s="31">
        <f>(MIN(Table1[[#This Row],[unique-opens]]/Table1[[#This Row],[unique-sends]],1)*50
 + MIN(Table1[[#This Row],[unique-clicks]]/Table1[[#This Row],[unique-sends]],1)*50)
 * (1 + MIN(Table1[[#This Row],[unique-clicks]]/Table1[[#This Row],[unique-sends]],1))
 - ((Table1[[#This Row],[unsub]]/Table1[[#This Row],[unique-sends]]*100)*2)</f>
        <v>51.806799461349783</v>
      </c>
      <c r="P2" s="31" t="str">
        <f>IF(Table1[[#This Row],[Engagement Score]]&lt;30,"🔴",IF(Table1[[#This Row],[Engagement Score]]&lt;40,"🟡","🟢"))</f>
        <v>🟢</v>
      </c>
      <c r="Q2" s="127">
        <v>0</v>
      </c>
      <c r="R2" s="127">
        <v>0</v>
      </c>
      <c r="S2" s="127">
        <v>0</v>
      </c>
      <c r="T2" s="128"/>
    </row>
    <row r="3" spans="1:20" ht="32.1" customHeight="1">
      <c r="A3" s="73">
        <v>31</v>
      </c>
      <c r="B3" s="135" t="s">
        <v>24</v>
      </c>
      <c r="C3" s="67">
        <v>45839</v>
      </c>
      <c r="D3" s="53" t="s">
        <v>21</v>
      </c>
      <c r="E3" s="19" t="s">
        <v>25</v>
      </c>
      <c r="F3" s="19" t="s">
        <v>26</v>
      </c>
      <c r="G3" s="13">
        <v>9564</v>
      </c>
      <c r="H3" s="24">
        <v>5260</v>
      </c>
      <c r="I3" s="28">
        <v>50</v>
      </c>
      <c r="J3" s="16">
        <v>3</v>
      </c>
      <c r="K3" s="35">
        <f>(Table1[[#This Row],[unsub]]/Table1[[#This Row],[unique-sends]])*100</f>
        <v>3.1367628607277286E-2</v>
      </c>
      <c r="L3" s="6">
        <f>Table1[[#This Row],[unique-opens]] / Table1[[#This Row],[unique-sends]] * 100</f>
        <v>54.997908824759513</v>
      </c>
      <c r="M3" s="31">
        <f>Table1[[#This Row],[unique-clicks]] / Table1[[#This Row],[unique-sends]] * 100</f>
        <v>0.52279381012128812</v>
      </c>
      <c r="N3" s="31">
        <f>Table1[[#This Row],[unique-clicks]] / Table1[[#This Row],[unique-opens]] * 100</f>
        <v>0.95057034220532322</v>
      </c>
      <c r="O3" s="50">
        <f>(MIN(Table1[[#This Row],[unique-opens]]/Table1[[#This Row],[unique-sends]],1)*50
 + MIN(Table1[[#This Row],[unique-clicks]]/Table1[[#This Row],[unique-sends]],1)*50)
 * (1 + MIN(Table1[[#This Row],[unique-clicks]]/Table1[[#This Row],[unique-sends]],1))
 - ((Table1[[#This Row],[unsub]]/Table1[[#This Row],[unique-sends]]*100)*2)</f>
        <v>27.842745458581344</v>
      </c>
      <c r="P3" s="31" t="str">
        <f>IF(Table1[[#This Row],[Engagement Score]]&lt;30,"🔴",IF(Table1[[#This Row],[Engagement Score]]&lt;40,"🟡","🟢"))</f>
        <v>🔴</v>
      </c>
      <c r="Q3" s="7">
        <v>61.9</v>
      </c>
      <c r="R3" s="7">
        <v>19</v>
      </c>
      <c r="S3" s="7">
        <v>19</v>
      </c>
      <c r="T3" s="129" t="s">
        <v>27</v>
      </c>
    </row>
    <row r="4" spans="1:20" ht="32.1" customHeight="1">
      <c r="A4" s="73">
        <v>31</v>
      </c>
      <c r="B4" s="136" t="s">
        <v>24</v>
      </c>
      <c r="C4" s="67">
        <v>45839</v>
      </c>
      <c r="D4" s="15" t="s">
        <v>28</v>
      </c>
      <c r="E4" s="19" t="s">
        <v>25</v>
      </c>
      <c r="F4" s="19" t="s">
        <v>26</v>
      </c>
      <c r="G4" s="13">
        <v>230</v>
      </c>
      <c r="H4" s="24">
        <v>132</v>
      </c>
      <c r="I4" s="28">
        <v>0</v>
      </c>
      <c r="J4" s="16">
        <v>0</v>
      </c>
      <c r="K4" s="35">
        <f>(Table1[[#This Row],[unsub]]/Table1[[#This Row],[unique-sends]])*100</f>
        <v>0</v>
      </c>
      <c r="L4" s="21">
        <f>Table1[[#This Row],[unique-opens]] / Table1[[#This Row],[unique-sends]] * 100</f>
        <v>57.391304347826086</v>
      </c>
      <c r="M4" s="31">
        <f>Table1[[#This Row],[unique-clicks]] / Table1[[#This Row],[unique-sends]] * 100</f>
        <v>0</v>
      </c>
      <c r="N4" s="31">
        <f>Table1[[#This Row],[unique-clicks]] / Table1[[#This Row],[unique-opens]] * 100</f>
        <v>0</v>
      </c>
      <c r="O4" s="31">
        <f>(MIN(Table1[[#This Row],[unique-opens]]/Table1[[#This Row],[unique-sends]],1)*50
 + MIN(Table1[[#This Row],[unique-clicks]]/Table1[[#This Row],[unique-sends]],1)*50)
 * (1 + MIN(Table1[[#This Row],[unique-clicks]]/Table1[[#This Row],[unique-sends]],1))
 - ((Table1[[#This Row],[unsub]]/Table1[[#This Row],[unique-sends]]*100)*2)</f>
        <v>28.695652173913043</v>
      </c>
      <c r="P4" s="31" t="str">
        <f>IF(Table1[[#This Row],[Engagement Score]]&lt;30,"🔴",IF(Table1[[#This Row],[Engagement Score]]&lt;40,"🟡","🟢"))</f>
        <v>🔴</v>
      </c>
      <c r="Q4" s="7">
        <v>83.3</v>
      </c>
      <c r="R4" s="7">
        <v>16.7</v>
      </c>
      <c r="S4" s="7">
        <v>0</v>
      </c>
      <c r="T4" s="129" t="s">
        <v>29</v>
      </c>
    </row>
    <row r="5" spans="1:20" ht="32.1" customHeight="1">
      <c r="A5" s="74">
        <v>34</v>
      </c>
      <c r="B5" s="136" t="s">
        <v>30</v>
      </c>
      <c r="C5" s="67">
        <v>45839</v>
      </c>
      <c r="D5" s="47" t="s">
        <v>21</v>
      </c>
      <c r="E5" s="55" t="s">
        <v>22</v>
      </c>
      <c r="F5" s="52" t="s">
        <v>23</v>
      </c>
      <c r="G5" s="13">
        <v>4140</v>
      </c>
      <c r="H5" s="24">
        <v>3677</v>
      </c>
      <c r="I5" s="28">
        <v>127</v>
      </c>
      <c r="J5" s="16">
        <v>5</v>
      </c>
      <c r="K5" s="35">
        <f>(Table1[[#This Row],[unsub]]/Table1[[#This Row],[unique-sends]])*100</f>
        <v>0.12077294685990338</v>
      </c>
      <c r="L5" s="21">
        <f>Table1[[#This Row],[unique-opens]] / Table1[[#This Row],[unique-sends]] * 100</f>
        <v>88.816425120772948</v>
      </c>
      <c r="M5" s="31">
        <f>Table1[[#This Row],[unique-clicks]] / Table1[[#This Row],[unique-sends]] * 100</f>
        <v>3.0676328502415457</v>
      </c>
      <c r="N5" s="31">
        <f>Table1[[#This Row],[unique-clicks]] / Table1[[#This Row],[unique-opens]] * 100</f>
        <v>3.4539026380201254</v>
      </c>
      <c r="O5" s="31">
        <f>(MIN(Table1[[#This Row],[unique-opens]]/Table1[[#This Row],[unique-sends]],1)*50
 + MIN(Table1[[#This Row],[unique-clicks]]/Table1[[#This Row],[unique-sends]],1)*50)
 * (1 + MIN(Table1[[#This Row],[unique-clicks]]/Table1[[#This Row],[unique-sends]],1))
 - ((Table1[[#This Row],[unsub]]/Table1[[#This Row],[unique-sends]]*100)*2)</f>
        <v>47.109815865014355</v>
      </c>
      <c r="P5" s="31" t="str">
        <f>IF(Table1[[#This Row],[Engagement Score]]&lt;30,"🔴",IF(Table1[[#This Row],[Engagement Score]]&lt;40,"🟡","🟢"))</f>
        <v>🟢</v>
      </c>
      <c r="Q5" s="127">
        <v>0</v>
      </c>
      <c r="R5" s="127">
        <v>0</v>
      </c>
      <c r="S5" s="127">
        <v>0</v>
      </c>
      <c r="T5" s="88"/>
    </row>
    <row r="6" spans="1:20" ht="32.1" customHeight="1">
      <c r="A6" s="74">
        <v>35</v>
      </c>
      <c r="B6" s="136" t="s">
        <v>31</v>
      </c>
      <c r="C6" s="67">
        <v>45839</v>
      </c>
      <c r="D6" s="15" t="s">
        <v>21</v>
      </c>
      <c r="E6" s="62" t="s">
        <v>22</v>
      </c>
      <c r="F6" s="19" t="s">
        <v>23</v>
      </c>
      <c r="G6" s="13">
        <v>2408</v>
      </c>
      <c r="H6" s="24">
        <v>1589</v>
      </c>
      <c r="I6" s="28">
        <v>165</v>
      </c>
      <c r="J6" s="16">
        <v>1</v>
      </c>
      <c r="K6" s="35">
        <f>(Table1[[#This Row],[unsub]]/Table1[[#This Row],[unique-sends]])*100</f>
        <v>4.1528239202657809E-2</v>
      </c>
      <c r="L6" s="21">
        <f>Table1[[#This Row],[unique-opens]] / Table1[[#This Row],[unique-sends]] * 100</f>
        <v>65.988372093023244</v>
      </c>
      <c r="M6" s="31">
        <f>Table1[[#This Row],[unique-clicks]] / Table1[[#This Row],[unique-sends]] * 100</f>
        <v>6.852159468438539</v>
      </c>
      <c r="N6" s="31">
        <f>Table1[[#This Row],[unique-clicks]] / Table1[[#This Row],[unique-opens]] * 100</f>
        <v>10.383889238514788</v>
      </c>
      <c r="O6" s="31">
        <f>(MIN(Table1[[#This Row],[unique-opens]]/Table1[[#This Row],[unique-sends]],1)*50
 + MIN(Table1[[#This Row],[unique-clicks]]/Table1[[#This Row],[unique-sends]],1)*50)
 * (1 + MIN(Table1[[#This Row],[unique-clicks]]/Table1[[#This Row],[unique-sends]],1))
 - ((Table1[[#This Row],[unsub]]/Table1[[#This Row],[unique-sends]]*100)*2)</f>
        <v>38.832783992450409</v>
      </c>
      <c r="P6" s="31" t="str">
        <f>IF(Table1[[#This Row],[Engagement Score]]&lt;30,"🔴",IF(Table1[[#This Row],[Engagement Score]]&lt;40,"🟡","🟢"))</f>
        <v>🟡</v>
      </c>
      <c r="Q6" s="127">
        <v>0</v>
      </c>
      <c r="R6" s="127">
        <v>0</v>
      </c>
      <c r="S6" s="127">
        <v>0</v>
      </c>
      <c r="T6" s="88"/>
    </row>
    <row r="7" spans="1:20" ht="32.1" customHeight="1">
      <c r="A7" s="75">
        <v>36</v>
      </c>
      <c r="B7" s="136" t="s">
        <v>31</v>
      </c>
      <c r="C7" s="67">
        <v>45839</v>
      </c>
      <c r="D7" s="15" t="s">
        <v>28</v>
      </c>
      <c r="E7" s="62" t="s">
        <v>22</v>
      </c>
      <c r="F7" s="19" t="s">
        <v>23</v>
      </c>
      <c r="G7" s="9">
        <v>100</v>
      </c>
      <c r="H7" s="25">
        <v>74</v>
      </c>
      <c r="I7" s="29">
        <v>14</v>
      </c>
      <c r="J7" s="11">
        <v>0</v>
      </c>
      <c r="K7" s="36">
        <f>(Table1[[#This Row],[unsub]]/Table1[[#This Row],[unique-sends]])*100</f>
        <v>0</v>
      </c>
      <c r="L7" s="6">
        <f>Table1[[#This Row],[unique-opens]] / Table1[[#This Row],[unique-sends]] * 100</f>
        <v>74</v>
      </c>
      <c r="M7" s="31">
        <f>Table1[[#This Row],[unique-clicks]] / Table1[[#This Row],[unique-sends]] * 100</f>
        <v>14.000000000000002</v>
      </c>
      <c r="N7" s="31">
        <f>Table1[[#This Row],[unique-clicks]] / Table1[[#This Row],[unique-opens]] * 100</f>
        <v>18.918918918918919</v>
      </c>
      <c r="O7" s="31">
        <f>(MIN(Table1[[#This Row],[unique-opens]]/Table1[[#This Row],[unique-sends]],1)*50
 + MIN(Table1[[#This Row],[unique-clicks]]/Table1[[#This Row],[unique-sends]],1)*50)
 * (1 + MIN(Table1[[#This Row],[unique-clicks]]/Table1[[#This Row],[unique-sends]],1))
 - ((Table1[[#This Row],[unsub]]/Table1[[#This Row],[unique-sends]]*100)*2)</f>
        <v>50.160000000000004</v>
      </c>
      <c r="P7" s="31" t="str">
        <f>IF(Table1[[#This Row],[Engagement Score]]&lt;30,"🔴",IF(Table1[[#This Row],[Engagement Score]]&lt;40,"🟡","🟢"))</f>
        <v>🟢</v>
      </c>
      <c r="Q7" s="127">
        <v>0</v>
      </c>
      <c r="R7" s="127">
        <v>0</v>
      </c>
      <c r="S7" s="127">
        <v>0</v>
      </c>
      <c r="T7" s="88"/>
    </row>
    <row r="8" spans="1:20" ht="32.1" customHeight="1">
      <c r="A8" s="74">
        <v>38</v>
      </c>
      <c r="B8" s="136" t="s">
        <v>32</v>
      </c>
      <c r="C8" s="67">
        <v>45839</v>
      </c>
      <c r="D8" s="15" t="s">
        <v>21</v>
      </c>
      <c r="E8" s="52" t="s">
        <v>22</v>
      </c>
      <c r="F8" s="19" t="s">
        <v>23</v>
      </c>
      <c r="G8" s="13">
        <v>13901</v>
      </c>
      <c r="H8" s="24">
        <v>8207</v>
      </c>
      <c r="I8" s="28">
        <v>342</v>
      </c>
      <c r="J8" s="16">
        <v>39</v>
      </c>
      <c r="K8" s="35">
        <f>(Table1[[#This Row],[unsub]]/Table1[[#This Row],[unique-sends]])*100</f>
        <v>0.28055535572980361</v>
      </c>
      <c r="L8" s="21">
        <f>Table1[[#This Row],[unique-opens]] / Table1[[#This Row],[unique-sends]] * 100</f>
        <v>59.038918063448676</v>
      </c>
      <c r="M8" s="31">
        <f>Table1[[#This Row],[unique-clicks]] / Table1[[#This Row],[unique-sends]] * 100</f>
        <v>2.4602546579382776</v>
      </c>
      <c r="N8" s="31">
        <f>Table1[[#This Row],[unique-clicks]] / Table1[[#This Row],[unique-opens]] * 100</f>
        <v>4.1671743633483613</v>
      </c>
      <c r="O8" s="31">
        <f>(MIN(Table1[[#This Row],[unique-opens]]/Table1[[#This Row],[unique-sends]],1)*50
 + MIN(Table1[[#This Row],[unique-clicks]]/Table1[[#This Row],[unique-sends]],1)*50)
 * (1 + MIN(Table1[[#This Row],[unique-clicks]]/Table1[[#This Row],[unique-sends]],1))
 - ((Table1[[#This Row],[unsub]]/Table1[[#This Row],[unique-sends]]*100)*2)</f>
        <v>30.944993779969586</v>
      </c>
      <c r="P8" s="31" t="str">
        <f>IF(Table1[[#This Row],[Engagement Score]]&lt;30,"🔴",IF(Table1[[#This Row],[Engagement Score]]&lt;40,"🟡","🟢"))</f>
        <v>🟡</v>
      </c>
      <c r="Q8" s="127">
        <v>0</v>
      </c>
      <c r="R8" s="7">
        <v>0</v>
      </c>
      <c r="S8" s="7">
        <v>0</v>
      </c>
      <c r="T8" s="88"/>
    </row>
    <row r="9" spans="1:20" ht="32.1" customHeight="1">
      <c r="A9" s="75">
        <v>38</v>
      </c>
      <c r="B9" s="136" t="s">
        <v>33</v>
      </c>
      <c r="C9" s="67">
        <v>45839</v>
      </c>
      <c r="D9" s="15" t="s">
        <v>21</v>
      </c>
      <c r="E9" s="62" t="s">
        <v>22</v>
      </c>
      <c r="F9" s="19" t="s">
        <v>23</v>
      </c>
      <c r="G9" s="9">
        <v>150</v>
      </c>
      <c r="H9" s="25">
        <v>140</v>
      </c>
      <c r="I9" s="29">
        <v>32</v>
      </c>
      <c r="J9" s="11">
        <v>0</v>
      </c>
      <c r="K9" s="36">
        <f>(Table1[[#This Row],[unsub]]/Table1[[#This Row],[unique-sends]])*100</f>
        <v>0</v>
      </c>
      <c r="L9" s="6">
        <f>Table1[[#This Row],[unique-opens]] / Table1[[#This Row],[unique-sends]] * 100</f>
        <v>93.333333333333329</v>
      </c>
      <c r="M9" s="31">
        <f>Table1[[#This Row],[unique-clicks]] / Table1[[#This Row],[unique-sends]] * 100</f>
        <v>21.333333333333336</v>
      </c>
      <c r="N9" s="31">
        <f>Table1[[#This Row],[unique-clicks]] / Table1[[#This Row],[unique-opens]] * 100</f>
        <v>22.857142857142858</v>
      </c>
      <c r="O9" s="31">
        <f>(MIN(Table1[[#This Row],[unique-opens]]/Table1[[#This Row],[unique-sends]],1)*50
 + MIN(Table1[[#This Row],[unique-clicks]]/Table1[[#This Row],[unique-sends]],1)*50)
 * (1 + MIN(Table1[[#This Row],[unique-clicks]]/Table1[[#This Row],[unique-sends]],1))
 - ((Table1[[#This Row],[unsub]]/Table1[[#This Row],[unique-sends]]*100)*2)</f>
        <v>69.564444444444447</v>
      </c>
      <c r="P9" s="31" t="str">
        <f>IF(Table1[[#This Row],[Engagement Score]]&lt;30,"🔴",IF(Table1[[#This Row],[Engagement Score]]&lt;40,"🟡","🟢"))</f>
        <v>🟢</v>
      </c>
      <c r="Q9" s="127">
        <v>0</v>
      </c>
      <c r="R9" s="127">
        <v>0</v>
      </c>
      <c r="S9" s="127">
        <v>0</v>
      </c>
      <c r="T9" s="88"/>
    </row>
    <row r="10" spans="1:20" ht="32.1" customHeight="1">
      <c r="A10" s="74">
        <v>39</v>
      </c>
      <c r="B10" s="136" t="s">
        <v>32</v>
      </c>
      <c r="C10" s="67">
        <v>45839</v>
      </c>
      <c r="D10" s="15" t="s">
        <v>28</v>
      </c>
      <c r="E10" s="52" t="s">
        <v>22</v>
      </c>
      <c r="F10" s="19" t="s">
        <v>23</v>
      </c>
      <c r="G10" s="13">
        <v>605</v>
      </c>
      <c r="H10" s="24">
        <v>277</v>
      </c>
      <c r="I10" s="28">
        <v>13</v>
      </c>
      <c r="J10" s="16">
        <v>2</v>
      </c>
      <c r="K10" s="35">
        <f>(Table1[[#This Row],[unsub]]/Table1[[#This Row],[unique-sends]])*100</f>
        <v>0.33057851239669422</v>
      </c>
      <c r="L10" s="21">
        <f>Table1[[#This Row],[unique-opens]] / Table1[[#This Row],[unique-sends]] * 100</f>
        <v>45.785123966942152</v>
      </c>
      <c r="M10" s="31">
        <f>Table1[[#This Row],[unique-clicks]] / Table1[[#This Row],[unique-sends]] * 100</f>
        <v>2.1487603305785123</v>
      </c>
      <c r="N10" s="31">
        <f>Table1[[#This Row],[unique-clicks]] / Table1[[#This Row],[unique-opens]] * 100</f>
        <v>4.6931407942238268</v>
      </c>
      <c r="O10" s="31">
        <f>(MIN(Table1[[#This Row],[unique-opens]]/Table1[[#This Row],[unique-sends]],1)*50
 + MIN(Table1[[#This Row],[unique-clicks]]/Table1[[#This Row],[unique-sends]],1)*50)
 * (1 + MIN(Table1[[#This Row],[unique-clicks]]/Table1[[#This Row],[unique-sends]],1))
 - ((Table1[[#This Row],[unsub]]/Table1[[#This Row],[unique-sends]]*100)*2)</f>
        <v>23.820777269312206</v>
      </c>
      <c r="P10" s="31" t="str">
        <f>IF(Table1[[#This Row],[Engagement Score]]&lt;30,"🔴",IF(Table1[[#This Row],[Engagement Score]]&lt;40,"🟡","🟢"))</f>
        <v>🔴</v>
      </c>
      <c r="Q10" s="127">
        <v>0</v>
      </c>
      <c r="R10" s="7">
        <v>0</v>
      </c>
      <c r="S10" s="7">
        <v>0</v>
      </c>
      <c r="T10" s="88"/>
    </row>
    <row r="11" spans="1:20" ht="32.1" customHeight="1">
      <c r="A11" s="75">
        <v>39</v>
      </c>
      <c r="B11" s="136" t="s">
        <v>33</v>
      </c>
      <c r="C11" s="67">
        <v>45839</v>
      </c>
      <c r="D11" s="15" t="s">
        <v>28</v>
      </c>
      <c r="E11" s="62" t="s">
        <v>22</v>
      </c>
      <c r="F11" s="19" t="s">
        <v>23</v>
      </c>
      <c r="G11" s="9">
        <v>4</v>
      </c>
      <c r="H11" s="25">
        <v>5</v>
      </c>
      <c r="I11" s="29">
        <v>1</v>
      </c>
      <c r="J11" s="11">
        <v>0</v>
      </c>
      <c r="K11" s="36">
        <f>(Table1[[#This Row],[unsub]]/Table1[[#This Row],[unique-sends]])*100</f>
        <v>0</v>
      </c>
      <c r="L11" s="6">
        <f>Table1[[#This Row],[unique-opens]] / Table1[[#This Row],[unique-sends]] * 100</f>
        <v>125</v>
      </c>
      <c r="M11" s="31">
        <f>Table1[[#This Row],[unique-clicks]] / Table1[[#This Row],[unique-sends]] * 100</f>
        <v>25</v>
      </c>
      <c r="N11" s="31">
        <f>Table1[[#This Row],[unique-clicks]] / Table1[[#This Row],[unique-opens]] * 100</f>
        <v>20</v>
      </c>
      <c r="O11" s="31">
        <f>(MIN(Table1[[#This Row],[unique-opens]]/Table1[[#This Row],[unique-sends]],1)*50
 + MIN(Table1[[#This Row],[unique-clicks]]/Table1[[#This Row],[unique-sends]],1)*50)
 * (1 + MIN(Table1[[#This Row],[unique-clicks]]/Table1[[#This Row],[unique-sends]],1))
 - ((Table1[[#This Row],[unsub]]/Table1[[#This Row],[unique-sends]]*100)*2)</f>
        <v>78.125</v>
      </c>
      <c r="P11" s="31" t="str">
        <f>IF(Table1[[#This Row],[Engagement Score]]&lt;30,"🔴",IF(Table1[[#This Row],[Engagement Score]]&lt;40,"🟡","🟢"))</f>
        <v>🟢</v>
      </c>
      <c r="Q11" s="127">
        <v>0</v>
      </c>
      <c r="R11" s="127">
        <v>0</v>
      </c>
      <c r="S11" s="127">
        <v>0</v>
      </c>
      <c r="T11" s="88"/>
    </row>
    <row r="12" spans="1:20" ht="32.1" customHeight="1">
      <c r="A12" s="74">
        <v>40</v>
      </c>
      <c r="B12" s="136" t="s">
        <v>34</v>
      </c>
      <c r="C12" s="67">
        <v>45839</v>
      </c>
      <c r="D12" s="15" t="s">
        <v>21</v>
      </c>
      <c r="E12" s="38" t="s">
        <v>22</v>
      </c>
      <c r="F12" s="19" t="s">
        <v>23</v>
      </c>
      <c r="G12" s="13">
        <v>860</v>
      </c>
      <c r="H12" s="24">
        <v>576</v>
      </c>
      <c r="I12" s="28">
        <v>41</v>
      </c>
      <c r="J12" s="16">
        <v>2</v>
      </c>
      <c r="K12" s="35">
        <f>(Table1[[#This Row],[unsub]]/Table1[[#This Row],[unique-sends]])*100</f>
        <v>0.23255813953488372</v>
      </c>
      <c r="L12" s="21">
        <f>Table1[[#This Row],[unique-opens]] / Table1[[#This Row],[unique-sends]] * 100</f>
        <v>66.976744186046517</v>
      </c>
      <c r="M12" s="31">
        <f>Table1[[#This Row],[unique-clicks]] / Table1[[#This Row],[unique-sends]] * 100</f>
        <v>4.7674418604651168</v>
      </c>
      <c r="N12" s="31">
        <f>Table1[[#This Row],[unique-clicks]] / Table1[[#This Row],[unique-opens]] * 100</f>
        <v>7.1180555555555554</v>
      </c>
      <c r="O12" s="31">
        <f>(MIN(Table1[[#This Row],[unique-opens]]/Table1[[#This Row],[unique-sends]],1)*50
 + MIN(Table1[[#This Row],[unique-clicks]]/Table1[[#This Row],[unique-sends]],1)*50)
 * (1 + MIN(Table1[[#This Row],[unique-clicks]]/Table1[[#This Row],[unique-sends]],1))
 - ((Table1[[#This Row],[unsub]]/Table1[[#This Row],[unique-sends]]*100)*2)</f>
        <v>37.117157923201731</v>
      </c>
      <c r="P12" s="31" t="str">
        <f>IF(Table1[[#This Row],[Engagement Score]]&lt;30,"🔴",IF(Table1[[#This Row],[Engagement Score]]&lt;40,"🟡","🟢"))</f>
        <v>🟡</v>
      </c>
      <c r="Q12" s="127">
        <v>0</v>
      </c>
      <c r="R12" s="127">
        <v>0</v>
      </c>
      <c r="S12" s="127">
        <v>0</v>
      </c>
      <c r="T12" s="88"/>
    </row>
    <row r="13" spans="1:20" ht="32.1" customHeight="1">
      <c r="A13" s="74">
        <v>41</v>
      </c>
      <c r="B13" s="136" t="s">
        <v>35</v>
      </c>
      <c r="C13" s="67">
        <v>45839</v>
      </c>
      <c r="D13" s="15" t="s">
        <v>21</v>
      </c>
      <c r="E13" s="38" t="s">
        <v>22</v>
      </c>
      <c r="F13" s="19" t="s">
        <v>23</v>
      </c>
      <c r="G13" s="13">
        <v>270</v>
      </c>
      <c r="H13" s="24">
        <v>160</v>
      </c>
      <c r="I13" s="28">
        <v>11</v>
      </c>
      <c r="J13" s="16">
        <v>0</v>
      </c>
      <c r="K13" s="35">
        <f>(Table1[[#This Row],[unsub]]/Table1[[#This Row],[unique-sends]])*100</f>
        <v>0</v>
      </c>
      <c r="L13" s="21">
        <f>Table1[[#This Row],[unique-opens]] / Table1[[#This Row],[unique-sends]] * 100</f>
        <v>59.259259259259252</v>
      </c>
      <c r="M13" s="31">
        <f>Table1[[#This Row],[unique-clicks]] / Table1[[#This Row],[unique-sends]] * 100</f>
        <v>4.0740740740740744</v>
      </c>
      <c r="N13" s="31">
        <f>Table1[[#This Row],[unique-clicks]] / Table1[[#This Row],[unique-opens]] * 100</f>
        <v>6.8750000000000009</v>
      </c>
      <c r="O13" s="37">
        <f>(MIN(Table1[[#This Row],[unique-opens]]/Table1[[#This Row],[unique-sends]],1)*50
 + MIN(Table1[[#This Row],[unique-clicks]]/Table1[[#This Row],[unique-sends]],1)*50)
 * (1 + MIN(Table1[[#This Row],[unique-clicks]]/Table1[[#This Row],[unique-sends]],1))
 - ((Table1[[#This Row],[unsub]]/Table1[[#This Row],[unique-sends]]*100)*2)</f>
        <v>32.956790123456791</v>
      </c>
      <c r="P13" s="37" t="str">
        <f>IF(Table1[[#This Row],[Engagement Score]]&lt;30,"🔴",IF(Table1[[#This Row],[Engagement Score]]&lt;40,"🟡","🟢"))</f>
        <v>🟡</v>
      </c>
      <c r="Q13" s="14">
        <v>0</v>
      </c>
      <c r="R13" s="14">
        <v>0</v>
      </c>
      <c r="S13" s="14">
        <v>0</v>
      </c>
      <c r="T13" s="88"/>
    </row>
    <row r="14" spans="1:20" ht="32.1" customHeight="1">
      <c r="A14" s="75">
        <v>42</v>
      </c>
      <c r="B14" s="136" t="s">
        <v>36</v>
      </c>
      <c r="C14" s="67">
        <v>45839</v>
      </c>
      <c r="D14" s="20" t="s">
        <v>21</v>
      </c>
      <c r="E14" s="38" t="s">
        <v>22</v>
      </c>
      <c r="F14" s="19" t="s">
        <v>23</v>
      </c>
      <c r="G14" s="9">
        <v>1812</v>
      </c>
      <c r="H14" s="25">
        <v>1334</v>
      </c>
      <c r="I14" s="29">
        <v>62</v>
      </c>
      <c r="J14" s="11">
        <v>3</v>
      </c>
      <c r="K14" s="36">
        <f>(Table1[[#This Row],[unsub]]/Table1[[#This Row],[unique-sends]])*100</f>
        <v>0.16556291390728478</v>
      </c>
      <c r="L14" s="6">
        <f>Table1[[#This Row],[unique-opens]] / Table1[[#This Row],[unique-sends]] * 100</f>
        <v>73.620309050772619</v>
      </c>
      <c r="M14" s="31">
        <f>Table1[[#This Row],[unique-clicks]] / Table1[[#This Row],[unique-sends]] * 100</f>
        <v>3.4216335540838854</v>
      </c>
      <c r="N14" s="31">
        <f>Table1[[#This Row],[unique-clicks]] / Table1[[#This Row],[unique-opens]] * 100</f>
        <v>4.6476761619190405</v>
      </c>
      <c r="O14" s="31">
        <f>(MIN(Table1[[#This Row],[unique-opens]]/Table1[[#This Row],[unique-sends]],1)*50
 + MIN(Table1[[#This Row],[unique-clicks]]/Table1[[#This Row],[unique-sends]],1)*50)
 * (1 + MIN(Table1[[#This Row],[unique-clicks]]/Table1[[#This Row],[unique-sends]],1))
 - ((Table1[[#This Row],[unsub]]/Table1[[#This Row],[unique-sends]]*100)*2)</f>
        <v>39.507891954056596</v>
      </c>
      <c r="P14" s="31" t="str">
        <f>IF(Table1[[#This Row],[Engagement Score]]&lt;30,"🔴",IF(Table1[[#This Row],[Engagement Score]]&lt;40,"🟡","🟢"))</f>
        <v>🟡</v>
      </c>
      <c r="Q14" s="10">
        <v>0</v>
      </c>
      <c r="R14" s="10">
        <v>0</v>
      </c>
      <c r="S14" s="10">
        <v>0</v>
      </c>
      <c r="T14" s="88"/>
    </row>
    <row r="15" spans="1:20" ht="32.1" customHeight="1">
      <c r="A15" s="75">
        <v>43</v>
      </c>
      <c r="B15" s="136" t="s">
        <v>37</v>
      </c>
      <c r="C15" s="67">
        <v>45839</v>
      </c>
      <c r="D15" s="20" t="s">
        <v>21</v>
      </c>
      <c r="E15" s="38" t="s">
        <v>22</v>
      </c>
      <c r="F15" s="19" t="s">
        <v>23</v>
      </c>
      <c r="G15" s="9">
        <v>694</v>
      </c>
      <c r="H15" s="25">
        <v>435</v>
      </c>
      <c r="I15" s="29">
        <v>53</v>
      </c>
      <c r="J15" s="11">
        <v>0</v>
      </c>
      <c r="K15" s="36">
        <f>(Table1[[#This Row],[unsub]]/Table1[[#This Row],[unique-sends]])*100</f>
        <v>0</v>
      </c>
      <c r="L15" s="6">
        <f>Table1[[#This Row],[unique-opens]] / Table1[[#This Row],[unique-sends]] * 100</f>
        <v>62.680115273775215</v>
      </c>
      <c r="M15" s="31">
        <f>Table1[[#This Row],[unique-clicks]] / Table1[[#This Row],[unique-sends]] * 100</f>
        <v>7.6368876080691637</v>
      </c>
      <c r="N15" s="31">
        <f>Table1[[#This Row],[unique-clicks]] / Table1[[#This Row],[unique-opens]] * 100</f>
        <v>12.183908045977011</v>
      </c>
      <c r="O15" s="31">
        <f>(MIN(Table1[[#This Row],[unique-opens]]/Table1[[#This Row],[unique-sends]],1)*50
 + MIN(Table1[[#This Row],[unique-clicks]]/Table1[[#This Row],[unique-sends]],1)*50)
 * (1 + MIN(Table1[[#This Row],[unique-clicks]]/Table1[[#This Row],[unique-sends]],1))
 - ((Table1[[#This Row],[unsub]]/Table1[[#This Row],[unique-sends]]*100)*2)</f>
        <v>37.843516680646786</v>
      </c>
      <c r="P15" s="31" t="str">
        <f>IF(Table1[[#This Row],[Engagement Score]]&lt;30,"🔴",IF(Table1[[#This Row],[Engagement Score]]&lt;40,"🟡","🟢"))</f>
        <v>🟡</v>
      </c>
      <c r="Q15" s="10">
        <v>0</v>
      </c>
      <c r="R15" s="10">
        <v>0</v>
      </c>
      <c r="S15" s="10">
        <v>0</v>
      </c>
      <c r="T15" s="88"/>
    </row>
    <row r="16" spans="1:20" ht="32.1" customHeight="1">
      <c r="A16" s="74">
        <v>44</v>
      </c>
      <c r="B16" s="136" t="s">
        <v>38</v>
      </c>
      <c r="C16" s="67">
        <v>45839</v>
      </c>
      <c r="D16" s="15" t="s">
        <v>21</v>
      </c>
      <c r="E16" s="38" t="s">
        <v>22</v>
      </c>
      <c r="F16" s="19" t="s">
        <v>23</v>
      </c>
      <c r="G16" s="13">
        <v>77</v>
      </c>
      <c r="H16" s="24">
        <v>61</v>
      </c>
      <c r="I16" s="28">
        <v>7</v>
      </c>
      <c r="J16" s="16">
        <v>0</v>
      </c>
      <c r="K16" s="35">
        <f>(Table1[[#This Row],[unsub]]/Table1[[#This Row],[unique-sends]])*100</f>
        <v>0</v>
      </c>
      <c r="L16" s="21">
        <f>Table1[[#This Row],[unique-opens]] / Table1[[#This Row],[unique-sends]] * 100</f>
        <v>79.220779220779221</v>
      </c>
      <c r="M16" s="31">
        <f>Table1[[#This Row],[unique-clicks]] / Table1[[#This Row],[unique-sends]] * 100</f>
        <v>9.0909090909090917</v>
      </c>
      <c r="N16" s="31">
        <f>Table1[[#This Row],[unique-clicks]] / Table1[[#This Row],[unique-opens]] * 100</f>
        <v>11.475409836065573</v>
      </c>
      <c r="O16" s="31">
        <f>(MIN(Table1[[#This Row],[unique-opens]]/Table1[[#This Row],[unique-sends]],1)*50
 + MIN(Table1[[#This Row],[unique-clicks]]/Table1[[#This Row],[unique-sends]],1)*50)
 * (1 + MIN(Table1[[#This Row],[unique-clicks]]/Table1[[#This Row],[unique-sends]],1))
 - ((Table1[[#This Row],[unsub]]/Table1[[#This Row],[unique-sends]]*100)*2)</f>
        <v>48.170011806375442</v>
      </c>
      <c r="P16" s="31" t="str">
        <f>IF(Table1[[#This Row],[Engagement Score]]&lt;30,"🔴",IF(Table1[[#This Row],[Engagement Score]]&lt;40,"🟡","🟢"))</f>
        <v>🟢</v>
      </c>
      <c r="Q16" s="127">
        <v>0</v>
      </c>
      <c r="R16" s="127">
        <v>0</v>
      </c>
      <c r="S16" s="127">
        <v>0</v>
      </c>
      <c r="T16" s="88"/>
    </row>
    <row r="17" spans="1:20" ht="32.1" customHeight="1">
      <c r="A17" s="74">
        <v>45</v>
      </c>
      <c r="B17" s="136" t="s">
        <v>39</v>
      </c>
      <c r="C17" s="67">
        <v>45839</v>
      </c>
      <c r="D17" s="15" t="s">
        <v>28</v>
      </c>
      <c r="E17" s="15" t="s">
        <v>22</v>
      </c>
      <c r="F17" s="19" t="s">
        <v>23</v>
      </c>
      <c r="G17" s="13">
        <v>162</v>
      </c>
      <c r="H17" s="24">
        <v>120</v>
      </c>
      <c r="I17" s="28">
        <v>10</v>
      </c>
      <c r="J17" s="16">
        <v>0</v>
      </c>
      <c r="K17" s="35">
        <f>(Table1[[#This Row],[unsub]]/Table1[[#This Row],[unique-sends]])*100</f>
        <v>0</v>
      </c>
      <c r="L17" s="21">
        <f>Table1[[#This Row],[unique-opens]] / Table1[[#This Row],[unique-sends]] * 100</f>
        <v>74.074074074074076</v>
      </c>
      <c r="M17" s="31">
        <f>Table1[[#This Row],[unique-clicks]] / Table1[[#This Row],[unique-sends]] * 100</f>
        <v>6.1728395061728394</v>
      </c>
      <c r="N17" s="31">
        <f>Table1[[#This Row],[unique-clicks]] / Table1[[#This Row],[unique-opens]] * 100</f>
        <v>8.3333333333333321</v>
      </c>
      <c r="O17" s="31">
        <f>(MIN(Table1[[#This Row],[unique-opens]]/Table1[[#This Row],[unique-sends]],1)*50
 + MIN(Table1[[#This Row],[unique-clicks]]/Table1[[#This Row],[unique-sends]],1)*50)
 * (1 + MIN(Table1[[#This Row],[unique-clicks]]/Table1[[#This Row],[unique-sends]],1))
 - ((Table1[[#This Row],[unsub]]/Table1[[#This Row],[unique-sends]]*100)*2)</f>
        <v>42.600213382106389</v>
      </c>
      <c r="P17" s="31" t="str">
        <f>IF(Table1[[#This Row],[Engagement Score]]&lt;30,"🔴",IF(Table1[[#This Row],[Engagement Score]]&lt;40,"🟡","🟢"))</f>
        <v>🟢</v>
      </c>
      <c r="Q17" s="127">
        <v>0</v>
      </c>
      <c r="R17" s="127">
        <v>0</v>
      </c>
      <c r="S17" s="127">
        <v>0</v>
      </c>
      <c r="T17" s="88"/>
    </row>
    <row r="18" spans="1:20" ht="32.1" customHeight="1">
      <c r="A18" s="74">
        <v>45</v>
      </c>
      <c r="B18" s="136" t="s">
        <v>40</v>
      </c>
      <c r="C18" s="67">
        <v>45839</v>
      </c>
      <c r="D18" s="15" t="s">
        <v>28</v>
      </c>
      <c r="E18" s="15" t="s">
        <v>22</v>
      </c>
      <c r="F18" s="19" t="s">
        <v>23</v>
      </c>
      <c r="G18" s="9">
        <v>46</v>
      </c>
      <c r="H18" s="25">
        <v>41</v>
      </c>
      <c r="I18" s="29">
        <v>4</v>
      </c>
      <c r="J18" s="16">
        <v>0</v>
      </c>
      <c r="K18" s="35">
        <f>(Table1[[#This Row],[unsub]]/Table1[[#This Row],[unique-sends]])*100</f>
        <v>0</v>
      </c>
      <c r="L18" s="21">
        <f>Table1[[#This Row],[unique-opens]] / Table1[[#This Row],[unique-sends]] * 100</f>
        <v>89.130434782608688</v>
      </c>
      <c r="M18" s="31">
        <f>Table1[[#This Row],[unique-clicks]] / Table1[[#This Row],[unique-sends]] * 100</f>
        <v>8.695652173913043</v>
      </c>
      <c r="N18" s="31">
        <f>Table1[[#This Row],[unique-clicks]] / Table1[[#This Row],[unique-opens]] * 100</f>
        <v>9.7560975609756095</v>
      </c>
      <c r="O18" s="37">
        <f>(MIN(Table1[[#This Row],[unique-opens]]/Table1[[#This Row],[unique-sends]],1)*50
 + MIN(Table1[[#This Row],[unique-clicks]]/Table1[[#This Row],[unique-sends]],1)*50)
 * (1 + MIN(Table1[[#This Row],[unique-clicks]]/Table1[[#This Row],[unique-sends]],1))
 - ((Table1[[#This Row],[unsub]]/Table1[[#This Row],[unique-sends]]*100)*2)</f>
        <v>53.166351606805286</v>
      </c>
      <c r="P18" s="37" t="str">
        <f>IF(Table1[[#This Row],[Engagement Score]]&lt;30,"🔴",IF(Table1[[#This Row],[Engagement Score]]&lt;40,"🟡","🟢"))</f>
        <v>🟢</v>
      </c>
      <c r="Q18" s="14">
        <v>0</v>
      </c>
      <c r="R18" s="14">
        <v>0</v>
      </c>
      <c r="S18" s="14">
        <v>0</v>
      </c>
      <c r="T18" s="88"/>
    </row>
    <row r="19" spans="1:20" ht="32.1" customHeight="1">
      <c r="A19" s="75">
        <v>46</v>
      </c>
      <c r="B19" s="136" t="s">
        <v>39</v>
      </c>
      <c r="C19" s="67">
        <v>45839</v>
      </c>
      <c r="D19" s="20" t="s">
        <v>21</v>
      </c>
      <c r="E19" s="15" t="s">
        <v>22</v>
      </c>
      <c r="F19" s="19" t="s">
        <v>23</v>
      </c>
      <c r="G19" s="13">
        <v>3329</v>
      </c>
      <c r="H19" s="24">
        <v>2640</v>
      </c>
      <c r="I19" s="28">
        <v>374</v>
      </c>
      <c r="J19" s="11">
        <v>4</v>
      </c>
      <c r="K19" s="35">
        <f>(Table1[[#This Row],[unsub]]/Table1[[#This Row],[unique-sends]])*100</f>
        <v>0.12015620306398318</v>
      </c>
      <c r="L19" s="21">
        <f>Table1[[#This Row],[unique-opens]] / Table1[[#This Row],[unique-sends]] * 100</f>
        <v>79.30309402222889</v>
      </c>
      <c r="M19" s="31">
        <f>Table1[[#This Row],[unique-clicks]] / Table1[[#This Row],[unique-sends]] * 100</f>
        <v>11.234604986482427</v>
      </c>
      <c r="N19" s="31">
        <f>Table1[[#This Row],[unique-clicks]] / Table1[[#This Row],[unique-opens]] * 100</f>
        <v>14.166666666666666</v>
      </c>
      <c r="O19" s="31">
        <f>(MIN(Table1[[#This Row],[unique-opens]]/Table1[[#This Row],[unique-sends]],1)*50
 + MIN(Table1[[#This Row],[unique-clicks]]/Table1[[#This Row],[unique-sends]],1)*50)
 * (1 + MIN(Table1[[#This Row],[unique-clicks]]/Table1[[#This Row],[unique-sends]],1))
 - ((Table1[[#This Row],[unsub]]/Table1[[#This Row],[unique-sends]]*100)*2)</f>
        <v>50.114313521967254</v>
      </c>
      <c r="P19" s="31" t="str">
        <f>IF(Table1[[#This Row],[Engagement Score]]&lt;30,"🔴",IF(Table1[[#This Row],[Engagement Score]]&lt;40,"🟡","🟢"))</f>
        <v>🟢</v>
      </c>
      <c r="Q19" s="127">
        <v>92</v>
      </c>
      <c r="R19" s="7">
        <v>5.3</v>
      </c>
      <c r="S19" s="7">
        <v>2.7</v>
      </c>
      <c r="T19" s="129" t="s">
        <v>41</v>
      </c>
    </row>
    <row r="20" spans="1:20" ht="32.1" customHeight="1">
      <c r="A20" s="75">
        <v>46</v>
      </c>
      <c r="B20" s="136" t="s">
        <v>40</v>
      </c>
      <c r="C20" s="67">
        <v>45839</v>
      </c>
      <c r="D20" s="20" t="s">
        <v>21</v>
      </c>
      <c r="E20" s="15" t="s">
        <v>22</v>
      </c>
      <c r="F20" s="19" t="s">
        <v>23</v>
      </c>
      <c r="G20" s="9">
        <v>1336</v>
      </c>
      <c r="H20" s="25">
        <v>986</v>
      </c>
      <c r="I20" s="29">
        <v>164</v>
      </c>
      <c r="J20" s="11">
        <v>0</v>
      </c>
      <c r="K20" s="35">
        <f>(Table1[[#This Row],[unsub]]/Table1[[#This Row],[unique-sends]])*100</f>
        <v>0</v>
      </c>
      <c r="L20" s="21">
        <f>Table1[[#This Row],[unique-opens]] / Table1[[#This Row],[unique-sends]] * 100</f>
        <v>73.802395209580837</v>
      </c>
      <c r="M20" s="31">
        <f>Table1[[#This Row],[unique-clicks]] / Table1[[#This Row],[unique-sends]] * 100</f>
        <v>12.275449101796406</v>
      </c>
      <c r="N20" s="31">
        <f>Table1[[#This Row],[unique-clicks]] / Table1[[#This Row],[unique-opens]] * 100</f>
        <v>16.632860040567952</v>
      </c>
      <c r="O20" s="31">
        <f>(MIN(Table1[[#This Row],[unique-opens]]/Table1[[#This Row],[unique-sends]],1)*50
 + MIN(Table1[[#This Row],[unique-clicks]]/Table1[[#This Row],[unique-sends]],1)*50)
 * (1 + MIN(Table1[[#This Row],[unique-clicks]]/Table1[[#This Row],[unique-sends]],1))
 - ((Table1[[#This Row],[unsub]]/Table1[[#This Row],[unique-sends]]*100)*2)</f>
        <v>48.322143138871958</v>
      </c>
      <c r="P20" s="31" t="str">
        <f>IF(Table1[[#This Row],[Engagement Score]]&lt;30,"🔴",IF(Table1[[#This Row],[Engagement Score]]&lt;40,"🟡","🟢"))</f>
        <v>🟢</v>
      </c>
      <c r="Q20" s="127">
        <v>0</v>
      </c>
      <c r="R20" s="127">
        <v>0</v>
      </c>
      <c r="S20" s="127">
        <v>0</v>
      </c>
      <c r="T20" s="88"/>
    </row>
    <row r="21" spans="1:20" ht="32.1" customHeight="1">
      <c r="A21" s="75">
        <v>47</v>
      </c>
      <c r="B21" s="136" t="s">
        <v>42</v>
      </c>
      <c r="C21" s="67">
        <v>45839</v>
      </c>
      <c r="D21" s="15" t="s">
        <v>21</v>
      </c>
      <c r="E21" s="38" t="s">
        <v>22</v>
      </c>
      <c r="F21" s="19" t="s">
        <v>23</v>
      </c>
      <c r="G21" s="13">
        <v>35817</v>
      </c>
      <c r="H21" s="24">
        <v>21147</v>
      </c>
      <c r="I21" s="28">
        <v>2385</v>
      </c>
      <c r="J21" s="16">
        <v>88</v>
      </c>
      <c r="K21" s="35">
        <f>(Table1[[#This Row],[unsub]]/Table1[[#This Row],[unique-sends]])*100</f>
        <v>0.24569338582237488</v>
      </c>
      <c r="L21" s="21">
        <f>Table1[[#This Row],[unique-opens]] / Table1[[#This Row],[unique-sends]] * 100</f>
        <v>59.041795795292742</v>
      </c>
      <c r="M21" s="31">
        <f>Table1[[#This Row],[unique-clicks]] / Table1[[#This Row],[unique-sends]] * 100</f>
        <v>6.6588491498450457</v>
      </c>
      <c r="N21" s="31">
        <f>Table1[[#This Row],[unique-clicks]] / Table1[[#This Row],[unique-opens]] * 100</f>
        <v>11.278195488721805</v>
      </c>
      <c r="O21" s="31">
        <f>(MIN(Table1[[#This Row],[unique-opens]]/Table1[[#This Row],[unique-sends]],1)*50
 + MIN(Table1[[#This Row],[unique-clicks]]/Table1[[#This Row],[unique-sends]],1)*50)
 * (1 + MIN(Table1[[#This Row],[unique-clicks]]/Table1[[#This Row],[unique-sends]],1))
 - ((Table1[[#This Row],[unsub]]/Table1[[#This Row],[unique-sends]]*100)*2)</f>
        <v>34.546389119610154</v>
      </c>
      <c r="P21" s="31" t="str">
        <f>IF(Table1[[#This Row],[Engagement Score]]&lt;30,"🔴",IF(Table1[[#This Row],[Engagement Score]]&lt;40,"🟡","🟢"))</f>
        <v>🟡</v>
      </c>
      <c r="Q21" s="127">
        <v>0</v>
      </c>
      <c r="R21" s="127">
        <v>0</v>
      </c>
      <c r="S21" s="127">
        <v>0</v>
      </c>
      <c r="T21" s="88"/>
    </row>
    <row r="22" spans="1:20" ht="32.1" customHeight="1">
      <c r="A22" s="75">
        <v>48</v>
      </c>
      <c r="B22" s="136" t="s">
        <v>42</v>
      </c>
      <c r="C22" s="67">
        <v>45839</v>
      </c>
      <c r="D22" s="15" t="s">
        <v>28</v>
      </c>
      <c r="E22" s="38" t="s">
        <v>22</v>
      </c>
      <c r="F22" s="19" t="s">
        <v>23</v>
      </c>
      <c r="G22" s="13">
        <v>1790</v>
      </c>
      <c r="H22" s="24">
        <v>1061</v>
      </c>
      <c r="I22" s="28">
        <v>119</v>
      </c>
      <c r="J22" s="16">
        <v>4</v>
      </c>
      <c r="K22" s="35">
        <f>(Table1[[#This Row],[unsub]]/Table1[[#This Row],[unique-sends]])*100</f>
        <v>0.22346368715083798</v>
      </c>
      <c r="L22" s="21">
        <f>Table1[[#This Row],[unique-opens]] / Table1[[#This Row],[unique-sends]] * 100</f>
        <v>59.273743016759774</v>
      </c>
      <c r="M22" s="31">
        <f>Table1[[#This Row],[unique-clicks]] / Table1[[#This Row],[unique-sends]] * 100</f>
        <v>6.6480446927374297</v>
      </c>
      <c r="N22" s="31">
        <f>Table1[[#This Row],[unique-clicks]] / Table1[[#This Row],[unique-opens]] * 100</f>
        <v>11.215834118755891</v>
      </c>
      <c r="O22" s="31">
        <f>(MIN(Table1[[#This Row],[unique-opens]]/Table1[[#This Row],[unique-sends]],1)*50
 + MIN(Table1[[#This Row],[unique-clicks]]/Table1[[#This Row],[unique-sends]],1)*50)
 * (1 + MIN(Table1[[#This Row],[unique-clicks]]/Table1[[#This Row],[unique-sends]],1))
 - ((Table1[[#This Row],[unsub]]/Table1[[#This Row],[unique-sends]]*100)*2)</f>
        <v>34.705221435036364</v>
      </c>
      <c r="P22" s="31" t="str">
        <f>IF(Table1[[#This Row],[Engagement Score]]&lt;30,"🔴",IF(Table1[[#This Row],[Engagement Score]]&lt;40,"🟡","🟢"))</f>
        <v>🟡</v>
      </c>
      <c r="Q22" s="127">
        <v>0</v>
      </c>
      <c r="R22" s="127">
        <v>0</v>
      </c>
      <c r="S22" s="127">
        <v>0</v>
      </c>
      <c r="T22" s="88"/>
    </row>
    <row r="23" spans="1:20" ht="32.1" customHeight="1">
      <c r="A23" s="74">
        <v>49</v>
      </c>
      <c r="B23" s="136" t="s">
        <v>43</v>
      </c>
      <c r="C23" s="67">
        <v>45839</v>
      </c>
      <c r="D23" s="15" t="s">
        <v>21</v>
      </c>
      <c r="E23" s="38" t="s">
        <v>22</v>
      </c>
      <c r="F23" s="19" t="s">
        <v>23</v>
      </c>
      <c r="G23" s="13">
        <v>35553</v>
      </c>
      <c r="H23" s="24">
        <v>20109</v>
      </c>
      <c r="I23" s="28">
        <v>1196</v>
      </c>
      <c r="J23" s="16">
        <v>57</v>
      </c>
      <c r="K23" s="35">
        <f>(Table1[[#This Row],[unsub]]/Table1[[#This Row],[unique-sends]])*100</f>
        <v>0.16032402328917389</v>
      </c>
      <c r="L23" s="21">
        <f>Table1[[#This Row],[unique-opens]] / Table1[[#This Row],[unique-sends]] * 100</f>
        <v>56.560627795122777</v>
      </c>
      <c r="M23" s="31">
        <f>Table1[[#This Row],[unique-clicks]] / Table1[[#This Row],[unique-sends]] * 100</f>
        <v>3.363991786909684</v>
      </c>
      <c r="N23" s="31">
        <f>Table1[[#This Row],[unique-clicks]] / Table1[[#This Row],[unique-opens]] * 100</f>
        <v>5.9475856581630113</v>
      </c>
      <c r="O23" s="31">
        <f>(MIN(Table1[[#This Row],[unique-opens]]/Table1[[#This Row],[unique-sends]],1)*50
 + MIN(Table1[[#This Row],[unique-clicks]]/Table1[[#This Row],[unique-sends]],1)*50)
 * (1 + MIN(Table1[[#This Row],[unique-clicks]]/Table1[[#This Row],[unique-sends]],1))
 - ((Table1[[#This Row],[unsub]]/Table1[[#This Row],[unique-sends]]*100)*2)</f>
        <v>30.649591384976109</v>
      </c>
      <c r="P23" s="31" t="str">
        <f>IF(Table1[[#This Row],[Engagement Score]]&lt;30,"🔴",IF(Table1[[#This Row],[Engagement Score]]&lt;40,"🟡","🟢"))</f>
        <v>🟡</v>
      </c>
      <c r="Q23" s="127">
        <v>0</v>
      </c>
      <c r="R23" s="127">
        <v>0</v>
      </c>
      <c r="S23" s="127">
        <v>0</v>
      </c>
      <c r="T23" s="88"/>
    </row>
    <row r="24" spans="1:20" ht="32.1" customHeight="1">
      <c r="A24" s="74">
        <v>50</v>
      </c>
      <c r="B24" s="136" t="s">
        <v>43</v>
      </c>
      <c r="C24" s="67">
        <v>45839</v>
      </c>
      <c r="D24" s="15" t="s">
        <v>28</v>
      </c>
      <c r="E24" s="38" t="s">
        <v>22</v>
      </c>
      <c r="F24" s="19" t="s">
        <v>23</v>
      </c>
      <c r="G24" s="13">
        <v>1881</v>
      </c>
      <c r="H24" s="24">
        <v>1096</v>
      </c>
      <c r="I24" s="28">
        <v>84</v>
      </c>
      <c r="J24" s="16">
        <v>4</v>
      </c>
      <c r="K24" s="35">
        <f>(Table1[[#This Row],[unsub]]/Table1[[#This Row],[unique-sends]])*100</f>
        <v>0.21265284423179162</v>
      </c>
      <c r="L24" s="21">
        <f>Table1[[#This Row],[unique-opens]] / Table1[[#This Row],[unique-sends]] * 100</f>
        <v>58.266879319510899</v>
      </c>
      <c r="M24" s="31">
        <f>Table1[[#This Row],[unique-clicks]] / Table1[[#This Row],[unique-sends]] * 100</f>
        <v>4.4657097288676235</v>
      </c>
      <c r="N24" s="31">
        <f>Table1[[#This Row],[unique-clicks]] / Table1[[#This Row],[unique-opens]] * 100</f>
        <v>7.664233576642336</v>
      </c>
      <c r="O24" s="31">
        <f>(MIN(Table1[[#This Row],[unique-opens]]/Table1[[#This Row],[unique-sends]],1)*50
 + MIN(Table1[[#This Row],[unique-clicks]]/Table1[[#This Row],[unique-sends]],1)*50)
 * (1 + MIN(Table1[[#This Row],[unique-clicks]]/Table1[[#This Row],[unique-sends]],1))
 - ((Table1[[#This Row],[unsub]]/Table1[[#This Row],[unique-sends]]*100)*2)</f>
        <v>32.34171650187767</v>
      </c>
      <c r="P24" s="31" t="str">
        <f>IF(Table1[[#This Row],[Engagement Score]]&lt;30,"🔴",IF(Table1[[#This Row],[Engagement Score]]&lt;40,"🟡","🟢"))</f>
        <v>🟡</v>
      </c>
      <c r="Q24" s="127">
        <v>0</v>
      </c>
      <c r="R24" s="127">
        <v>0</v>
      </c>
      <c r="S24" s="127">
        <v>0</v>
      </c>
      <c r="T24" s="88"/>
    </row>
    <row r="25" spans="1:20" ht="32.1" customHeight="1">
      <c r="A25" s="74">
        <v>51</v>
      </c>
      <c r="B25" s="136" t="s">
        <v>44</v>
      </c>
      <c r="C25" s="67">
        <v>45839</v>
      </c>
      <c r="D25" s="47" t="s">
        <v>28</v>
      </c>
      <c r="E25" s="47" t="s">
        <v>22</v>
      </c>
      <c r="F25" s="52" t="s">
        <v>23</v>
      </c>
      <c r="G25" s="13">
        <v>67</v>
      </c>
      <c r="H25" s="24">
        <v>55</v>
      </c>
      <c r="I25" s="28">
        <v>0</v>
      </c>
      <c r="J25" s="16">
        <v>0</v>
      </c>
      <c r="K25" s="35">
        <f>(Table1[[#This Row],[unsub]]/Table1[[#This Row],[unique-sends]])*100</f>
        <v>0</v>
      </c>
      <c r="L25" s="21">
        <f>Table1[[#This Row],[unique-opens]] / Table1[[#This Row],[unique-sends]] * 100</f>
        <v>82.089552238805979</v>
      </c>
      <c r="M25" s="31">
        <f>Table1[[#This Row],[unique-clicks]] / Table1[[#This Row],[unique-sends]] * 100</f>
        <v>0</v>
      </c>
      <c r="N25" s="31">
        <f>Table1[[#This Row],[unique-clicks]] / Table1[[#This Row],[unique-opens]] * 100</f>
        <v>0</v>
      </c>
      <c r="O25" s="31">
        <f>(MIN(Table1[[#This Row],[unique-opens]]/Table1[[#This Row],[unique-sends]],1)*50
 + MIN(Table1[[#This Row],[unique-clicks]]/Table1[[#This Row],[unique-sends]],1)*50)
 * (1 + MIN(Table1[[#This Row],[unique-clicks]]/Table1[[#This Row],[unique-sends]],1))
 - ((Table1[[#This Row],[unsub]]/Table1[[#This Row],[unique-sends]]*100)*2)</f>
        <v>41.044776119402989</v>
      </c>
      <c r="P25" s="31" t="str">
        <f>IF(Table1[[#This Row],[Engagement Score]]&lt;30,"🔴",IF(Table1[[#This Row],[Engagement Score]]&lt;40,"🟡","🟢"))</f>
        <v>🟢</v>
      </c>
      <c r="Q25" s="127">
        <v>0</v>
      </c>
      <c r="R25" s="7">
        <v>0</v>
      </c>
      <c r="S25" s="7">
        <v>0</v>
      </c>
      <c r="T25" s="88"/>
    </row>
    <row r="26" spans="1:20" ht="32.1" customHeight="1">
      <c r="A26" s="75">
        <v>53</v>
      </c>
      <c r="B26" s="136" t="s">
        <v>44</v>
      </c>
      <c r="C26" s="67">
        <v>45839</v>
      </c>
      <c r="D26" s="38" t="s">
        <v>21</v>
      </c>
      <c r="E26" s="38" t="s">
        <v>22</v>
      </c>
      <c r="F26" s="52" t="s">
        <v>23</v>
      </c>
      <c r="G26" s="9">
        <v>507</v>
      </c>
      <c r="H26" s="25">
        <v>572</v>
      </c>
      <c r="I26" s="29">
        <v>69</v>
      </c>
      <c r="J26" s="11">
        <v>0</v>
      </c>
      <c r="K26" s="36">
        <f>(Table1[[#This Row],[unsub]]/Table1[[#This Row],[unique-sends]])*100</f>
        <v>0</v>
      </c>
      <c r="L26" s="6">
        <f>Table1[[#This Row],[unique-opens]] / Table1[[#This Row],[unique-sends]] * 100</f>
        <v>112.82051282051282</v>
      </c>
      <c r="M26" s="31">
        <f>Table1[[#This Row],[unique-clicks]] / Table1[[#This Row],[unique-sends]] * 100</f>
        <v>13.609467455621301</v>
      </c>
      <c r="N26" s="31">
        <f>Table1[[#This Row],[unique-clicks]] / Table1[[#This Row],[unique-opens]] * 100</f>
        <v>12.062937062937063</v>
      </c>
      <c r="O26" s="31">
        <f>(MIN(Table1[[#This Row],[unique-opens]]/Table1[[#This Row],[unique-sends]],1)*50
 + MIN(Table1[[#This Row],[unique-clicks]]/Table1[[#This Row],[unique-sends]],1)*50)
 * (1 + MIN(Table1[[#This Row],[unique-clicks]]/Table1[[#This Row],[unique-sends]],1))
 - ((Table1[[#This Row],[unsub]]/Table1[[#This Row],[unique-sends]]*100)*2)</f>
        <v>64.535555477749384</v>
      </c>
      <c r="P26" s="31" t="str">
        <f>IF(Table1[[#This Row],[Engagement Score]]&lt;30,"🔴",IF(Table1[[#This Row],[Engagement Score]]&lt;40,"🟡","🟢"))</f>
        <v>🟢</v>
      </c>
      <c r="Q26" s="127">
        <v>0</v>
      </c>
      <c r="R26" s="7">
        <v>0</v>
      </c>
      <c r="S26" s="7">
        <v>0</v>
      </c>
      <c r="T26" s="88"/>
    </row>
    <row r="27" spans="1:20" ht="32.1" customHeight="1">
      <c r="A27" s="75">
        <v>54</v>
      </c>
      <c r="B27" s="136" t="s">
        <v>45</v>
      </c>
      <c r="C27" s="67">
        <v>45839</v>
      </c>
      <c r="D27" s="47" t="s">
        <v>21</v>
      </c>
      <c r="E27" s="47" t="s">
        <v>22</v>
      </c>
      <c r="F27" s="52" t="s">
        <v>23</v>
      </c>
      <c r="G27" s="13">
        <v>4141</v>
      </c>
      <c r="H27" s="24">
        <v>3245</v>
      </c>
      <c r="I27" s="28">
        <v>249</v>
      </c>
      <c r="J27" s="16">
        <v>7</v>
      </c>
      <c r="K27" s="35">
        <f>(Table1[[#This Row],[unsub]]/Table1[[#This Row],[unique-sends]])*100</f>
        <v>0.16904129437333978</v>
      </c>
      <c r="L27" s="21">
        <f>Table1[[#This Row],[unique-opens]] / Table1[[#This Row],[unique-sends]] * 100</f>
        <v>78.362714320212518</v>
      </c>
      <c r="M27" s="37">
        <f>Table1[[#This Row],[unique-clicks]] / Table1[[#This Row],[unique-sends]] * 100</f>
        <v>6.0130403284230862</v>
      </c>
      <c r="N27" s="37">
        <f>Table1[[#This Row],[unique-clicks]] / Table1[[#This Row],[unique-opens]] * 100</f>
        <v>7.6733436055469948</v>
      </c>
      <c r="O27" s="37">
        <f>(MIN(Table1[[#This Row],[unique-opens]]/Table1[[#This Row],[unique-sends]],1)*50
 + MIN(Table1[[#This Row],[unique-clicks]]/Table1[[#This Row],[unique-sends]],1)*50)
 * (1 + MIN(Table1[[#This Row],[unique-clicks]]/Table1[[#This Row],[unique-sends]],1))
 - ((Table1[[#This Row],[unsub]]/Table1[[#This Row],[unique-sends]]*100)*2)</f>
        <v>44.386568812788013</v>
      </c>
      <c r="P27" s="37" t="str">
        <f>IF(Table1[[#This Row],[Engagement Score]]&lt;30,"🔴",IF(Table1[[#This Row],[Engagement Score]]&lt;40,"🟡","🟢"))</f>
        <v>🟢</v>
      </c>
      <c r="Q27" s="127">
        <v>0</v>
      </c>
      <c r="R27" s="7">
        <v>0</v>
      </c>
      <c r="S27" s="7">
        <v>0</v>
      </c>
      <c r="T27" s="130"/>
    </row>
    <row r="28" spans="1:20" ht="32.1" customHeight="1">
      <c r="A28" s="75">
        <v>55</v>
      </c>
      <c r="B28" s="136" t="s">
        <v>46</v>
      </c>
      <c r="C28" s="67">
        <v>45839</v>
      </c>
      <c r="D28" s="38" t="s">
        <v>28</v>
      </c>
      <c r="E28" s="47" t="s">
        <v>22</v>
      </c>
      <c r="F28" s="52" t="s">
        <v>23</v>
      </c>
      <c r="G28" s="9">
        <v>161</v>
      </c>
      <c r="H28" s="25">
        <v>87</v>
      </c>
      <c r="I28" s="29">
        <v>8</v>
      </c>
      <c r="J28" s="11">
        <v>0</v>
      </c>
      <c r="K28" s="36">
        <f>(Table1[[#This Row],[unsub]]/Table1[[#This Row],[unique-sends]])*100</f>
        <v>0</v>
      </c>
      <c r="L28" s="6">
        <f>Table1[[#This Row],[unique-opens]] / Table1[[#This Row],[unique-sends]] * 100</f>
        <v>54.037267080745345</v>
      </c>
      <c r="M28" s="31">
        <f>Table1[[#This Row],[unique-clicks]] / Table1[[#This Row],[unique-sends]] * 100</f>
        <v>4.9689440993788816</v>
      </c>
      <c r="N28" s="31">
        <f>Table1[[#This Row],[unique-clicks]] / Table1[[#This Row],[unique-opens]] * 100</f>
        <v>9.1954022988505741</v>
      </c>
      <c r="O28" s="31">
        <f>(MIN(Table1[[#This Row],[unique-opens]]/Table1[[#This Row],[unique-sends]],1)*50
 + MIN(Table1[[#This Row],[unique-clicks]]/Table1[[#This Row],[unique-sends]],1)*50)
 * (1 + MIN(Table1[[#This Row],[unique-clicks]]/Table1[[#This Row],[unique-sends]],1))
 - ((Table1[[#This Row],[unsub]]/Table1[[#This Row],[unique-sends]]*100)*2)</f>
        <v>30.969098414413029</v>
      </c>
      <c r="P28" s="31" t="str">
        <f>IF(Table1[[#This Row],[Engagement Score]]&lt;30,"🔴",IF(Table1[[#This Row],[Engagement Score]]&lt;40,"🟡","🟢"))</f>
        <v>🟡</v>
      </c>
      <c r="Q28" s="127">
        <v>0</v>
      </c>
      <c r="R28" s="7">
        <v>0</v>
      </c>
      <c r="S28" s="7">
        <v>0</v>
      </c>
      <c r="T28" s="130"/>
    </row>
    <row r="29" spans="1:20" ht="32.1" customHeight="1">
      <c r="A29" s="76">
        <v>30</v>
      </c>
      <c r="B29" s="136" t="s">
        <v>47</v>
      </c>
      <c r="C29" s="67">
        <v>45846</v>
      </c>
      <c r="D29" s="15" t="s">
        <v>21</v>
      </c>
      <c r="E29" s="53" t="s">
        <v>25</v>
      </c>
      <c r="F29" s="19" t="s">
        <v>26</v>
      </c>
      <c r="G29" s="9">
        <v>2085</v>
      </c>
      <c r="H29" s="25">
        <v>1052</v>
      </c>
      <c r="I29" s="29">
        <v>102</v>
      </c>
      <c r="J29" s="11">
        <v>0</v>
      </c>
      <c r="K29" s="36">
        <f>(Table1[[#This Row],[unsub]]/Table1[[#This Row],[unique-sends]])*100</f>
        <v>0</v>
      </c>
      <c r="L29" s="6">
        <f>Table1[[#This Row],[unique-opens]] / Table1[[#This Row],[unique-sends]] * 100</f>
        <v>50.455635491606706</v>
      </c>
      <c r="M29" s="31">
        <f>Table1[[#This Row],[unique-clicks]] / Table1[[#This Row],[unique-sends]] * 100</f>
        <v>4.8920863309352516</v>
      </c>
      <c r="N29" s="31">
        <f>Table1[[#This Row],[unique-clicks]] / Table1[[#This Row],[unique-opens]] * 100</f>
        <v>9.6958174904942958</v>
      </c>
      <c r="O29" s="31">
        <f>(MIN(Table1[[#This Row],[unique-opens]]/Table1[[#This Row],[unique-sends]],1)*50
 + MIN(Table1[[#This Row],[unique-clicks]]/Table1[[#This Row],[unique-sends]],1)*50)
 * (1 + MIN(Table1[[#This Row],[unique-clicks]]/Table1[[#This Row],[unique-sends]],1))
 - ((Table1[[#This Row],[unsub]]/Table1[[#This Row],[unique-sends]]*100)*2)</f>
        <v>29.027690078153299</v>
      </c>
      <c r="P29" s="31" t="str">
        <f>IF(Table1[[#This Row],[Engagement Score]]&lt;30,"🔴",IF(Table1[[#This Row],[Engagement Score]]&lt;40,"🟡","🟢"))</f>
        <v>🔴</v>
      </c>
      <c r="Q29" s="7">
        <v>82</v>
      </c>
      <c r="R29" s="7">
        <v>8.9</v>
      </c>
      <c r="S29" s="7">
        <v>8.9</v>
      </c>
      <c r="T29" s="131" t="s">
        <v>48</v>
      </c>
    </row>
    <row r="30" spans="1:20" ht="32.1" customHeight="1">
      <c r="A30" s="76">
        <v>30</v>
      </c>
      <c r="B30" s="136" t="s">
        <v>47</v>
      </c>
      <c r="C30" s="67">
        <v>45846</v>
      </c>
      <c r="D30" s="15" t="s">
        <v>28</v>
      </c>
      <c r="E30" s="53" t="s">
        <v>25</v>
      </c>
      <c r="F30" s="19" t="s">
        <v>26</v>
      </c>
      <c r="G30" s="13">
        <v>217</v>
      </c>
      <c r="H30" s="24">
        <v>152</v>
      </c>
      <c r="I30" s="28">
        <v>13</v>
      </c>
      <c r="J30" s="16">
        <v>0</v>
      </c>
      <c r="K30" s="35">
        <f>(Table1[[#This Row],[unsub]]/Table1[[#This Row],[unique-sends]])*100</f>
        <v>0</v>
      </c>
      <c r="L30" s="21">
        <f>Table1[[#This Row],[unique-opens]] / Table1[[#This Row],[unique-sends]] * 100</f>
        <v>70.046082949308754</v>
      </c>
      <c r="M30" s="37">
        <f>Table1[[#This Row],[unique-clicks]] / Table1[[#This Row],[unique-sends]] * 100</f>
        <v>5.9907834101382482</v>
      </c>
      <c r="N30" s="37">
        <f>Table1[[#This Row],[unique-clicks]] / Table1[[#This Row],[unique-opens]] * 100</f>
        <v>8.5526315789473681</v>
      </c>
      <c r="O30" s="37">
        <f>(MIN(Table1[[#This Row],[unique-opens]]/Table1[[#This Row],[unique-sends]],1)*50
 + MIN(Table1[[#This Row],[unique-clicks]]/Table1[[#This Row],[unique-sends]],1)*50)
 * (1 + MIN(Table1[[#This Row],[unique-clicks]]/Table1[[#This Row],[unique-sends]],1))
 - ((Table1[[#This Row],[unsub]]/Table1[[#This Row],[unique-sends]]*100)*2)</f>
        <v>40.296035167448878</v>
      </c>
      <c r="P30" s="37" t="str">
        <f>IF(Table1[[#This Row],[Engagement Score]]&lt;30,"🔴",IF(Table1[[#This Row],[Engagement Score]]&lt;40,"🟡","🟢"))</f>
        <v>🟢</v>
      </c>
      <c r="Q30" s="16">
        <v>73.099999999999994</v>
      </c>
      <c r="R30" s="16">
        <v>19.2</v>
      </c>
      <c r="S30" s="16">
        <v>7.7</v>
      </c>
      <c r="T30" s="131" t="s">
        <v>49</v>
      </c>
    </row>
    <row r="31" spans="1:20" ht="32.1" customHeight="1">
      <c r="A31" s="76">
        <v>30</v>
      </c>
      <c r="B31" s="136" t="s">
        <v>50</v>
      </c>
      <c r="C31" s="67">
        <v>45846</v>
      </c>
      <c r="D31" s="15" t="s">
        <v>21</v>
      </c>
      <c r="E31" s="53" t="s">
        <v>25</v>
      </c>
      <c r="F31" s="19" t="s">
        <v>26</v>
      </c>
      <c r="G31" s="9">
        <v>8369</v>
      </c>
      <c r="H31" s="25">
        <v>4411</v>
      </c>
      <c r="I31" s="29">
        <v>235</v>
      </c>
      <c r="J31" s="11">
        <v>1</v>
      </c>
      <c r="K31" s="36">
        <f>(Table1[[#This Row],[unsub]]/Table1[[#This Row],[unique-sends]])*100</f>
        <v>1.1948858883976579E-2</v>
      </c>
      <c r="L31" s="6">
        <f>Table1[[#This Row],[unique-opens]] / Table1[[#This Row],[unique-sends]] * 100</f>
        <v>52.70641653722069</v>
      </c>
      <c r="M31" s="31">
        <f>Table1[[#This Row],[unique-clicks]] / Table1[[#This Row],[unique-sends]] * 100</f>
        <v>2.8079818377344963</v>
      </c>
      <c r="N31" s="31">
        <f>Table1[[#This Row],[unique-clicks]] / Table1[[#This Row],[unique-opens]] * 100</f>
        <v>5.3275901156200405</v>
      </c>
      <c r="O31" s="31">
        <f>(MIN(Table1[[#This Row],[unique-opens]]/Table1[[#This Row],[unique-sends]],1)*50
 + MIN(Table1[[#This Row],[unique-clicks]]/Table1[[#This Row],[unique-sends]],1)*50)
 * (1 + MIN(Table1[[#This Row],[unique-clicks]]/Table1[[#This Row],[unique-sends]],1))
 - ((Table1[[#This Row],[unsub]]/Table1[[#This Row],[unique-sends]]*100)*2)</f>
        <v>28.512718581557799</v>
      </c>
      <c r="P31" s="31" t="str">
        <f>IF(Table1[[#This Row],[Engagement Score]]&lt;30,"🔴",IF(Table1[[#This Row],[Engagement Score]]&lt;40,"🟡","🟢"))</f>
        <v>🔴</v>
      </c>
      <c r="Q31" s="11">
        <v>73.599999999999994</v>
      </c>
      <c r="R31" s="11">
        <v>14.6</v>
      </c>
      <c r="S31" s="11">
        <v>11.8</v>
      </c>
      <c r="T31" s="129" t="s">
        <v>51</v>
      </c>
    </row>
    <row r="32" spans="1:20" ht="32.1" customHeight="1">
      <c r="A32" s="76">
        <v>30</v>
      </c>
      <c r="B32" s="136" t="s">
        <v>50</v>
      </c>
      <c r="C32" s="67">
        <v>45846</v>
      </c>
      <c r="D32" s="15" t="s">
        <v>28</v>
      </c>
      <c r="E32" s="53" t="s">
        <v>25</v>
      </c>
      <c r="F32" s="19" t="s">
        <v>26</v>
      </c>
      <c r="G32" s="13">
        <v>1253</v>
      </c>
      <c r="H32" s="24">
        <v>800</v>
      </c>
      <c r="I32" s="28">
        <v>46</v>
      </c>
      <c r="J32" s="16">
        <v>0</v>
      </c>
      <c r="K32" s="35">
        <f>(Table1[[#This Row],[unsub]]/Table1[[#This Row],[unique-sends]])*100</f>
        <v>0</v>
      </c>
      <c r="L32" s="21">
        <f>Table1[[#This Row],[unique-opens]] / Table1[[#This Row],[unique-sends]] * 100</f>
        <v>63.846767757382281</v>
      </c>
      <c r="M32" s="37">
        <f>Table1[[#This Row],[unique-clicks]] / Table1[[#This Row],[unique-sends]] * 100</f>
        <v>3.6711891460494814</v>
      </c>
      <c r="N32" s="37">
        <f>Table1[[#This Row],[unique-clicks]] / Table1[[#This Row],[unique-opens]] * 100</f>
        <v>5.75</v>
      </c>
      <c r="O32" s="37">
        <f>(MIN(Table1[[#This Row],[unique-opens]]/Table1[[#This Row],[unique-sends]],1)*50
 + MIN(Table1[[#This Row],[unique-clicks]]/Table1[[#This Row],[unique-sends]],1)*50)
 * (1 + MIN(Table1[[#This Row],[unique-clicks]]/Table1[[#This Row],[unique-sends]],1))
 - ((Table1[[#This Row],[unsub]]/Table1[[#This Row],[unique-sends]]*100)*2)</f>
        <v>34.998334404452464</v>
      </c>
      <c r="P32" s="37" t="str">
        <f>IF(Table1[[#This Row],[Engagement Score]]&lt;30,"🔴",IF(Table1[[#This Row],[Engagement Score]]&lt;40,"🟡","🟢"))</f>
        <v>🟡</v>
      </c>
      <c r="Q32" s="16">
        <v>66.7</v>
      </c>
      <c r="R32" s="16">
        <v>25.3</v>
      </c>
      <c r="S32" s="16">
        <v>8.1</v>
      </c>
      <c r="T32" s="131" t="s">
        <v>52</v>
      </c>
    </row>
    <row r="33" spans="1:20" ht="32.1" customHeight="1">
      <c r="A33" s="76">
        <v>31</v>
      </c>
      <c r="B33" s="136" t="s">
        <v>53</v>
      </c>
      <c r="C33" s="67">
        <v>45846</v>
      </c>
      <c r="D33" s="15" t="s">
        <v>21</v>
      </c>
      <c r="E33" s="53" t="s">
        <v>25</v>
      </c>
      <c r="F33" s="19" t="s">
        <v>26</v>
      </c>
      <c r="G33" s="9">
        <v>8314</v>
      </c>
      <c r="H33" s="25">
        <v>3958</v>
      </c>
      <c r="I33" s="29">
        <v>126</v>
      </c>
      <c r="J33" s="11">
        <v>2</v>
      </c>
      <c r="K33" s="36">
        <f>(Table1[[#This Row],[unsub]]/Table1[[#This Row],[unique-sends]])*100</f>
        <v>2.4055809477988934E-2</v>
      </c>
      <c r="L33" s="6">
        <f>Table1[[#This Row],[unique-opens]] / Table1[[#This Row],[unique-sends]] * 100</f>
        <v>47.606446956940104</v>
      </c>
      <c r="M33" s="31">
        <f>Table1[[#This Row],[unique-clicks]] / Table1[[#This Row],[unique-sends]] * 100</f>
        <v>1.5155159971133028</v>
      </c>
      <c r="N33" s="31">
        <f>Table1[[#This Row],[unique-clicks]] / Table1[[#This Row],[unique-opens]] * 100</f>
        <v>3.1834259727134917</v>
      </c>
      <c r="O33" s="31">
        <f>(MIN(Table1[[#This Row],[unique-opens]]/Table1[[#This Row],[unique-sends]],1)*50
 + MIN(Table1[[#This Row],[unique-clicks]]/Table1[[#This Row],[unique-sends]],1)*50)
 * (1 + MIN(Table1[[#This Row],[unique-clicks]]/Table1[[#This Row],[unique-sends]],1))
 - ((Table1[[#This Row],[unsub]]/Table1[[#This Row],[unique-sends]]*100)*2)</f>
        <v>24.8850954614031</v>
      </c>
      <c r="P33" s="31" t="str">
        <f>IF(Table1[[#This Row],[Engagement Score]]&lt;30,"🔴",IF(Table1[[#This Row],[Engagement Score]]&lt;40,"🟡","🟢"))</f>
        <v>🔴</v>
      </c>
      <c r="Q33" s="11">
        <v>78.8</v>
      </c>
      <c r="R33" s="11">
        <v>14.1</v>
      </c>
      <c r="S33" s="11">
        <v>7.1</v>
      </c>
      <c r="T33" s="129" t="s">
        <v>54</v>
      </c>
    </row>
    <row r="34" spans="1:20" ht="32.1" customHeight="1">
      <c r="A34" s="76">
        <v>31</v>
      </c>
      <c r="B34" s="136" t="s">
        <v>53</v>
      </c>
      <c r="C34" s="67">
        <v>45846</v>
      </c>
      <c r="D34" s="15" t="s">
        <v>28</v>
      </c>
      <c r="E34" s="53" t="s">
        <v>25</v>
      </c>
      <c r="F34" s="19" t="s">
        <v>26</v>
      </c>
      <c r="G34" s="13">
        <v>465</v>
      </c>
      <c r="H34" s="24">
        <v>279</v>
      </c>
      <c r="I34" s="28">
        <v>11</v>
      </c>
      <c r="J34" s="16">
        <v>0</v>
      </c>
      <c r="K34" s="35">
        <f>(Table1[[#This Row],[unsub]]/Table1[[#This Row],[unique-sends]])*100</f>
        <v>0</v>
      </c>
      <c r="L34" s="21">
        <f>Table1[[#This Row],[unique-opens]] / Table1[[#This Row],[unique-sends]] * 100</f>
        <v>60</v>
      </c>
      <c r="M34" s="37">
        <f>Table1[[#This Row],[unique-clicks]] / Table1[[#This Row],[unique-sends]] * 100</f>
        <v>2.3655913978494625</v>
      </c>
      <c r="N34" s="37">
        <f>Table1[[#This Row],[unique-clicks]] / Table1[[#This Row],[unique-opens]] * 100</f>
        <v>3.9426523297491038</v>
      </c>
      <c r="O34" s="37">
        <f>(MIN(Table1[[#This Row],[unique-opens]]/Table1[[#This Row],[unique-sends]],1)*50
 + MIN(Table1[[#This Row],[unique-clicks]]/Table1[[#This Row],[unique-sends]],1)*50)
 * (1 + MIN(Table1[[#This Row],[unique-clicks]]/Table1[[#This Row],[unique-sends]],1))
 - ((Table1[[#This Row],[unsub]]/Table1[[#This Row],[unique-sends]]*100)*2)</f>
        <v>31.920453231587469</v>
      </c>
      <c r="P34" s="37" t="str">
        <f>IF(Table1[[#This Row],[Engagement Score]]&lt;30,"🔴",IF(Table1[[#This Row],[Engagement Score]]&lt;40,"🟡","🟢"))</f>
        <v>🟡</v>
      </c>
      <c r="Q34" s="16">
        <v>60</v>
      </c>
      <c r="R34" s="16">
        <v>20</v>
      </c>
      <c r="S34" s="16">
        <v>20</v>
      </c>
      <c r="T34" s="131" t="s">
        <v>55</v>
      </c>
    </row>
    <row r="35" spans="1:20" ht="32.1" customHeight="1">
      <c r="A35" s="76">
        <v>30</v>
      </c>
      <c r="B35" s="136" t="s">
        <v>56</v>
      </c>
      <c r="C35" s="67">
        <v>45848</v>
      </c>
      <c r="D35" s="15" t="s">
        <v>21</v>
      </c>
      <c r="E35" s="53" t="s">
        <v>25</v>
      </c>
      <c r="F35" s="19" t="s">
        <v>26</v>
      </c>
      <c r="G35" s="9">
        <v>1542</v>
      </c>
      <c r="H35" s="25">
        <v>822</v>
      </c>
      <c r="I35" s="29">
        <v>44</v>
      </c>
      <c r="J35" s="11">
        <v>0</v>
      </c>
      <c r="K35" s="36">
        <f>(Table1[[#This Row],[unsub]]/Table1[[#This Row],[unique-sends]])*100</f>
        <v>0</v>
      </c>
      <c r="L35" s="6">
        <f>Table1[[#This Row],[unique-opens]] / Table1[[#This Row],[unique-sends]] * 100</f>
        <v>53.307392996108952</v>
      </c>
      <c r="M35" s="31">
        <f>Table1[[#This Row],[unique-clicks]] / Table1[[#This Row],[unique-sends]] * 100</f>
        <v>2.8534370946822309</v>
      </c>
      <c r="N35" s="31">
        <f>Table1[[#This Row],[unique-clicks]] / Table1[[#This Row],[unique-opens]] * 100</f>
        <v>5.3527980535279802</v>
      </c>
      <c r="O35" s="31">
        <f>(MIN(Table1[[#This Row],[unique-opens]]/Table1[[#This Row],[unique-sends]],1)*50
 + MIN(Table1[[#This Row],[unique-clicks]]/Table1[[#This Row],[unique-sends]],1)*50)
 * (1 + MIN(Table1[[#This Row],[unique-clicks]]/Table1[[#This Row],[unique-sends]],1))
 - ((Table1[[#This Row],[unsub]]/Table1[[#This Row],[unique-sends]]*100)*2)</f>
        <v>28.881672024641635</v>
      </c>
      <c r="P35" s="31" t="str">
        <f>IF(Table1[[#This Row],[Engagement Score]]&lt;30,"🔴",IF(Table1[[#This Row],[Engagement Score]]&lt;40,"🟡","🟢"))</f>
        <v>🔴</v>
      </c>
      <c r="Q35" s="11">
        <v>75.8</v>
      </c>
      <c r="R35" s="11">
        <v>13.2</v>
      </c>
      <c r="S35" s="11">
        <v>11.1</v>
      </c>
      <c r="T35" s="129" t="s">
        <v>57</v>
      </c>
    </row>
    <row r="36" spans="1:20" ht="32.1" customHeight="1">
      <c r="A36" s="76">
        <v>30</v>
      </c>
      <c r="B36" s="136" t="s">
        <v>56</v>
      </c>
      <c r="C36" s="67">
        <v>45848</v>
      </c>
      <c r="D36" s="15" t="s">
        <v>28</v>
      </c>
      <c r="E36" s="53" t="s">
        <v>25</v>
      </c>
      <c r="F36" s="19" t="s">
        <v>26</v>
      </c>
      <c r="G36" s="13">
        <v>182</v>
      </c>
      <c r="H36" s="24">
        <v>109</v>
      </c>
      <c r="I36" s="28">
        <v>4</v>
      </c>
      <c r="J36" s="16">
        <v>0</v>
      </c>
      <c r="K36" s="35">
        <f>(Table1[[#This Row],[unsub]]/Table1[[#This Row],[unique-sends]])*100</f>
        <v>0</v>
      </c>
      <c r="L36" s="21">
        <f>Table1[[#This Row],[unique-opens]] / Table1[[#This Row],[unique-sends]] * 100</f>
        <v>59.890109890109891</v>
      </c>
      <c r="M36" s="37">
        <f>Table1[[#This Row],[unique-clicks]] / Table1[[#This Row],[unique-sends]] * 100</f>
        <v>2.197802197802198</v>
      </c>
      <c r="N36" s="37">
        <f>Table1[[#This Row],[unique-clicks]] / Table1[[#This Row],[unique-opens]] * 100</f>
        <v>3.669724770642202</v>
      </c>
      <c r="O36" s="37">
        <f>(MIN(Table1[[#This Row],[unique-opens]]/Table1[[#This Row],[unique-sends]],1)*50
 + MIN(Table1[[#This Row],[unique-clicks]]/Table1[[#This Row],[unique-sends]],1)*50)
 * (1 + MIN(Table1[[#This Row],[unique-clicks]]/Table1[[#This Row],[unique-sends]],1))
 - ((Table1[[#This Row],[unsub]]/Table1[[#This Row],[unique-sends]]*100)*2)</f>
        <v>31.726240792174856</v>
      </c>
      <c r="P36" s="37" t="str">
        <f>IF(Table1[[#This Row],[Engagement Score]]&lt;30,"🔴",IF(Table1[[#This Row],[Engagement Score]]&lt;40,"🟡","🟢"))</f>
        <v>🟡</v>
      </c>
      <c r="Q36" s="16">
        <v>66.7</v>
      </c>
      <c r="R36" s="16">
        <v>14.8</v>
      </c>
      <c r="S36" s="16">
        <v>18.5</v>
      </c>
      <c r="T36" s="131" t="s">
        <v>58</v>
      </c>
    </row>
    <row r="37" spans="1:20" ht="32.1" customHeight="1">
      <c r="A37" s="76">
        <v>5</v>
      </c>
      <c r="B37" s="136" t="s">
        <v>59</v>
      </c>
      <c r="C37" s="67">
        <v>45852</v>
      </c>
      <c r="D37" s="15" t="s">
        <v>28</v>
      </c>
      <c r="E37" s="15" t="s">
        <v>22</v>
      </c>
      <c r="F37" s="19" t="s">
        <v>26</v>
      </c>
      <c r="G37" s="9">
        <v>28154</v>
      </c>
      <c r="H37" s="25">
        <v>17646</v>
      </c>
      <c r="I37" s="29">
        <v>950</v>
      </c>
      <c r="J37" s="11">
        <v>13</v>
      </c>
      <c r="K37" s="35">
        <f>(Table1[[#This Row],[unsub]]/Table1[[#This Row],[unique-sends]])*100</f>
        <v>4.617461106769908E-2</v>
      </c>
      <c r="L37" s="21">
        <f>Table1[[#This Row],[unique-opens]] / Table1[[#This Row],[unique-sends]] * 100</f>
        <v>62.676706684662932</v>
      </c>
      <c r="M37" s="37">
        <f>Table1[[#This Row],[unique-clicks]] / Table1[[#This Row],[unique-sends]] * 100</f>
        <v>3.3742985011010869</v>
      </c>
      <c r="N37" s="37">
        <f>Table1[[#This Row],[unique-clicks]] / Table1[[#This Row],[unique-opens]] * 100</f>
        <v>5.3836563527144961</v>
      </c>
      <c r="O37" s="37">
        <f>(MIN(Table1[[#This Row],[unique-opens]]/Table1[[#This Row],[unique-sends]],1)*50
 + MIN(Table1[[#This Row],[unique-clicks]]/Table1[[#This Row],[unique-sends]],1)*50)
 * (1 + MIN(Table1[[#This Row],[unique-clicks]]/Table1[[#This Row],[unique-sends]],1))
 - ((Table1[[#This Row],[unsub]]/Table1[[#This Row],[unique-sends]]*100)*2)</f>
        <v>34.047532409719331</v>
      </c>
      <c r="P37" s="37" t="str">
        <f>IF(Table1[[#This Row],[Engagement Score]]&lt;30,"🔴",IF(Table1[[#This Row],[Engagement Score]]&lt;40,"🟡","🟢"))</f>
        <v>🟡</v>
      </c>
      <c r="Q37" s="10">
        <v>66.3</v>
      </c>
      <c r="R37" s="11">
        <v>16.399999999999999</v>
      </c>
      <c r="S37" s="11">
        <v>17.2</v>
      </c>
      <c r="T37" s="88"/>
    </row>
    <row r="38" spans="1:20" ht="32.1" customHeight="1">
      <c r="A38" s="76">
        <v>61</v>
      </c>
      <c r="B38" s="136" t="s">
        <v>60</v>
      </c>
      <c r="C38" s="67">
        <v>45852</v>
      </c>
      <c r="D38" s="15" t="s">
        <v>21</v>
      </c>
      <c r="E38" s="15" t="s">
        <v>22</v>
      </c>
      <c r="F38" s="19" t="s">
        <v>26</v>
      </c>
      <c r="G38" s="13">
        <v>320093</v>
      </c>
      <c r="H38" s="24">
        <v>144678</v>
      </c>
      <c r="I38" s="28">
        <v>4310</v>
      </c>
      <c r="J38" s="16">
        <v>4310</v>
      </c>
      <c r="K38" s="35">
        <f>(Table1[[#This Row],[unsub]]/Table1[[#This Row],[unique-sends]])*100</f>
        <v>1.3464836781810285</v>
      </c>
      <c r="L38" s="21">
        <f>Table1[[#This Row],[unique-opens]] / Table1[[#This Row],[unique-sends]] * 100</f>
        <v>45.19873911644428</v>
      </c>
      <c r="M38" s="37">
        <f>Table1[[#This Row],[unique-clicks]] / Table1[[#This Row],[unique-sends]] * 100</f>
        <v>1.3464836781810285</v>
      </c>
      <c r="N38" s="37">
        <f>Table1[[#This Row],[unique-clicks]] / Table1[[#This Row],[unique-opens]] * 100</f>
        <v>2.9790292926360609</v>
      </c>
      <c r="O38" s="37">
        <f>(MIN(Table1[[#This Row],[unique-opens]]/Table1[[#This Row],[unique-sends]],1)*50
 + MIN(Table1[[#This Row],[unique-clicks]]/Table1[[#This Row],[unique-sends]],1)*50)
 * (1 + MIN(Table1[[#This Row],[unique-clicks]]/Table1[[#This Row],[unique-sends]],1))
 - ((Table1[[#This Row],[unsub]]/Table1[[#This Row],[unique-sends]]*100)*2)</f>
        <v>20.893005954901909</v>
      </c>
      <c r="P38" s="37" t="str">
        <f>IF(Table1[[#This Row],[Engagement Score]]&lt;30,"🔴",IF(Table1[[#This Row],[Engagement Score]]&lt;40,"🟡","🟢"))</f>
        <v>🔴</v>
      </c>
      <c r="Q38" s="16">
        <v>68.5</v>
      </c>
      <c r="R38" s="16">
        <v>17.2</v>
      </c>
      <c r="S38" s="16">
        <v>14.3</v>
      </c>
      <c r="T38" s="130"/>
    </row>
    <row r="39" spans="1:20" ht="32.1" customHeight="1">
      <c r="A39" s="76">
        <v>62</v>
      </c>
      <c r="B39" s="136" t="s">
        <v>61</v>
      </c>
      <c r="C39" s="67">
        <v>45852</v>
      </c>
      <c r="D39" s="15" t="s">
        <v>21</v>
      </c>
      <c r="E39" s="15" t="s">
        <v>22</v>
      </c>
      <c r="F39" s="19" t="s">
        <v>26</v>
      </c>
      <c r="G39" s="13">
        <v>20052</v>
      </c>
      <c r="H39" s="24">
        <v>12307</v>
      </c>
      <c r="I39" s="28">
        <v>875</v>
      </c>
      <c r="J39" s="16">
        <v>1</v>
      </c>
      <c r="K39" s="35">
        <f>(Table1[[#This Row],[unsub]]/Table1[[#This Row],[unique-sends]])*100</f>
        <v>4.9870337123478952E-3</v>
      </c>
      <c r="L39" s="21">
        <f>Table1[[#This Row],[unique-opens]] / Table1[[#This Row],[unique-sends]] * 100</f>
        <v>61.375423897865545</v>
      </c>
      <c r="M39" s="37">
        <f>Table1[[#This Row],[unique-clicks]] / Table1[[#This Row],[unique-sends]] * 100</f>
        <v>4.3636544983044079</v>
      </c>
      <c r="N39" s="37">
        <f>Table1[[#This Row],[unique-clicks]] / Table1[[#This Row],[unique-opens]] * 100</f>
        <v>7.1097749248395221</v>
      </c>
      <c r="O39" s="37">
        <f>(MIN(Table1[[#This Row],[unique-opens]]/Table1[[#This Row],[unique-sends]],1)*50
 + MIN(Table1[[#This Row],[unique-clicks]]/Table1[[#This Row],[unique-sends]],1)*50)
 * (1 + MIN(Table1[[#This Row],[unique-clicks]]/Table1[[#This Row],[unique-sends]],1))
 - ((Table1[[#This Row],[unsub]]/Table1[[#This Row],[unique-sends]]*100)*2)</f>
        <v>34.293878256449453</v>
      </c>
      <c r="P39" s="37" t="str">
        <f>IF(Table1[[#This Row],[Engagement Score]]&lt;30,"🔴",IF(Table1[[#This Row],[Engagement Score]]&lt;40,"🟡","🟢"))</f>
        <v>🟡</v>
      </c>
      <c r="Q39" s="14">
        <v>73.3</v>
      </c>
      <c r="R39" s="16">
        <v>15.1</v>
      </c>
      <c r="S39" s="16">
        <v>11.6</v>
      </c>
      <c r="T39" s="131" t="s">
        <v>62</v>
      </c>
    </row>
    <row r="40" spans="1:20" ht="32.1" customHeight="1">
      <c r="A40" s="76">
        <v>63</v>
      </c>
      <c r="B40" s="136" t="s">
        <v>63</v>
      </c>
      <c r="C40" s="67">
        <v>45852</v>
      </c>
      <c r="D40" s="15" t="s">
        <v>21</v>
      </c>
      <c r="E40" s="15" t="s">
        <v>22</v>
      </c>
      <c r="F40" s="19" t="s">
        <v>26</v>
      </c>
      <c r="G40" s="13">
        <v>6012</v>
      </c>
      <c r="H40" s="24">
        <v>4122</v>
      </c>
      <c r="I40" s="28">
        <v>315</v>
      </c>
      <c r="J40" s="16">
        <v>3</v>
      </c>
      <c r="K40" s="35">
        <f>(Table1[[#This Row],[unsub]]/Table1[[#This Row],[unique-sends]])*100</f>
        <v>4.9900199600798396E-2</v>
      </c>
      <c r="L40" s="21">
        <f>Table1[[#This Row],[unique-opens]] / Table1[[#This Row],[unique-sends]] * 100</f>
        <v>68.562874251497007</v>
      </c>
      <c r="M40" s="37">
        <f>Table1[[#This Row],[unique-clicks]] / Table1[[#This Row],[unique-sends]] * 100</f>
        <v>5.2395209580838316</v>
      </c>
      <c r="N40" s="37">
        <f>Table1[[#This Row],[unique-clicks]] / Table1[[#This Row],[unique-opens]] * 100</f>
        <v>7.6419213973799121</v>
      </c>
      <c r="O40" s="37">
        <f>(MIN(Table1[[#This Row],[unique-opens]]/Table1[[#This Row],[unique-sends]],1)*50
 + MIN(Table1[[#This Row],[unique-clicks]]/Table1[[#This Row],[unique-sends]],1)*50)
 * (1 + MIN(Table1[[#This Row],[unique-clicks]]/Table1[[#This Row],[unique-sends]],1))
 - ((Table1[[#This Row],[unsub]]/Table1[[#This Row],[unique-sends]]*100)*2)</f>
        <v>38.73484318787574</v>
      </c>
      <c r="P40" s="37" t="str">
        <f>IF(Table1[[#This Row],[Engagement Score]]&lt;30,"🔴",IF(Table1[[#This Row],[Engagement Score]]&lt;40,"🟡","🟢"))</f>
        <v>🟡</v>
      </c>
      <c r="Q40" s="14">
        <v>76.3</v>
      </c>
      <c r="R40" s="16">
        <v>14.8</v>
      </c>
      <c r="S40" s="16">
        <v>9</v>
      </c>
      <c r="T40" s="130"/>
    </row>
    <row r="41" spans="1:20" ht="32.1" customHeight="1">
      <c r="A41" s="76">
        <v>31</v>
      </c>
      <c r="B41" s="136" t="s">
        <v>64</v>
      </c>
      <c r="C41" s="67">
        <v>45853</v>
      </c>
      <c r="D41" s="15" t="s">
        <v>21</v>
      </c>
      <c r="E41" s="15" t="s">
        <v>25</v>
      </c>
      <c r="F41" s="19" t="s">
        <v>26</v>
      </c>
      <c r="G41" s="13">
        <v>6597</v>
      </c>
      <c r="H41" s="24">
        <v>4032</v>
      </c>
      <c r="I41" s="28">
        <v>176</v>
      </c>
      <c r="J41" s="16">
        <v>1</v>
      </c>
      <c r="K41" s="35">
        <f>(Table1[[#This Row],[unsub]]/Table1[[#This Row],[unique-sends]])*100</f>
        <v>1.5158405335758679E-2</v>
      </c>
      <c r="L41" s="21">
        <f>Table1[[#This Row],[unique-opens]] / Table1[[#This Row],[unique-sends]] * 100</f>
        <v>61.118690313778991</v>
      </c>
      <c r="M41" s="37">
        <f>Table1[[#This Row],[unique-clicks]] / Table1[[#This Row],[unique-sends]] * 100</f>
        <v>2.6678793390935271</v>
      </c>
      <c r="N41" s="37">
        <f>Table1[[#This Row],[unique-clicks]] / Table1[[#This Row],[unique-opens]] * 100</f>
        <v>4.3650793650793647</v>
      </c>
      <c r="O41" s="37">
        <f>(MIN(Table1[[#This Row],[unique-opens]]/Table1[[#This Row],[unique-sends]],1)*50
 + MIN(Table1[[#This Row],[unique-clicks]]/Table1[[#This Row],[unique-sends]],1)*50)
 * (1 + MIN(Table1[[#This Row],[unique-clicks]]/Table1[[#This Row],[unique-sends]],1))
 - ((Table1[[#This Row],[unsub]]/Table1[[#This Row],[unique-sends]]*100)*2)</f>
        <v>32.713842372207488</v>
      </c>
      <c r="P41" s="37" t="str">
        <f>IF(Table1[[#This Row],[Engagement Score]]&lt;30,"🔴",IF(Table1[[#This Row],[Engagement Score]]&lt;40,"🟡","🟢"))</f>
        <v>🟡</v>
      </c>
      <c r="Q41" s="16">
        <v>64</v>
      </c>
      <c r="R41" s="16">
        <v>23.4</v>
      </c>
      <c r="S41" s="16">
        <v>126</v>
      </c>
      <c r="T41" s="131" t="s">
        <v>65</v>
      </c>
    </row>
    <row r="42" spans="1:20" ht="32.1" customHeight="1">
      <c r="A42" s="76">
        <v>31</v>
      </c>
      <c r="B42" s="136" t="s">
        <v>64</v>
      </c>
      <c r="C42" s="67">
        <v>45853</v>
      </c>
      <c r="D42" s="15" t="s">
        <v>28</v>
      </c>
      <c r="E42" s="15" t="s">
        <v>25</v>
      </c>
      <c r="F42" s="19" t="s">
        <v>26</v>
      </c>
      <c r="G42" s="13">
        <v>432</v>
      </c>
      <c r="H42" s="24">
        <v>306</v>
      </c>
      <c r="I42" s="28">
        <v>21</v>
      </c>
      <c r="J42" s="16">
        <v>0</v>
      </c>
      <c r="K42" s="35">
        <f>(Table1[[#This Row],[unsub]]/Table1[[#This Row],[unique-sends]])*100</f>
        <v>0</v>
      </c>
      <c r="L42" s="21">
        <f>Table1[[#This Row],[unique-opens]] / Table1[[#This Row],[unique-sends]] * 100</f>
        <v>70.833333333333343</v>
      </c>
      <c r="M42" s="37">
        <f>Table1[[#This Row],[unique-clicks]] / Table1[[#This Row],[unique-sends]] * 100</f>
        <v>4.8611111111111116</v>
      </c>
      <c r="N42" s="37">
        <f>Table1[[#This Row],[unique-clicks]] / Table1[[#This Row],[unique-opens]] * 100</f>
        <v>6.8627450980392162</v>
      </c>
      <c r="O42" s="37">
        <f>(MIN(Table1[[#This Row],[unique-opens]]/Table1[[#This Row],[unique-sends]],1)*50
 + MIN(Table1[[#This Row],[unique-clicks]]/Table1[[#This Row],[unique-sends]],1)*50)
 * (1 + MIN(Table1[[#This Row],[unique-clicks]]/Table1[[#This Row],[unique-sends]],1))
 - ((Table1[[#This Row],[unsub]]/Table1[[#This Row],[unique-sends]]*100)*2)</f>
        <v>39.68701774691359</v>
      </c>
      <c r="P42" s="37" t="str">
        <f>IF(Table1[[#This Row],[Engagement Score]]&lt;30,"🔴",IF(Table1[[#This Row],[Engagement Score]]&lt;40,"🟡","🟢"))</f>
        <v>🟡</v>
      </c>
      <c r="Q42" s="16">
        <v>51.2</v>
      </c>
      <c r="R42" s="16">
        <v>24.4</v>
      </c>
      <c r="S42" s="16">
        <v>4.4000000000000004</v>
      </c>
      <c r="T42" s="131" t="s">
        <v>66</v>
      </c>
    </row>
    <row r="43" spans="1:20" ht="32.1" customHeight="1">
      <c r="A43" s="76">
        <v>77</v>
      </c>
      <c r="B43" s="136" t="s">
        <v>67</v>
      </c>
      <c r="C43" s="67">
        <v>45860</v>
      </c>
      <c r="D43" s="15" t="s">
        <v>21</v>
      </c>
      <c r="E43" s="20" t="s">
        <v>68</v>
      </c>
      <c r="F43" s="19" t="s">
        <v>26</v>
      </c>
      <c r="G43" s="9">
        <v>28</v>
      </c>
      <c r="H43" s="25">
        <v>12</v>
      </c>
      <c r="I43" s="29">
        <v>5</v>
      </c>
      <c r="J43" s="11">
        <v>0</v>
      </c>
      <c r="K43" s="36">
        <f>(Table1[[#This Row],[unsub]]/Table1[[#This Row],[unique-sends]])*100</f>
        <v>0</v>
      </c>
      <c r="L43" s="6">
        <f>Table1[[#This Row],[unique-opens]] / Table1[[#This Row],[unique-sends]] * 100</f>
        <v>42.857142857142854</v>
      </c>
      <c r="M43" s="31">
        <f>Table1[[#This Row],[unique-clicks]] / Table1[[#This Row],[unique-sends]] * 100</f>
        <v>17.857142857142858</v>
      </c>
      <c r="N43" s="31">
        <f>Table1[[#This Row],[unique-clicks]] / Table1[[#This Row],[unique-opens]] * 100</f>
        <v>41.666666666666671</v>
      </c>
      <c r="O43" s="31">
        <f>(MIN(Table1[[#This Row],[unique-opens]]/Table1[[#This Row],[unique-sends]],1)*50
 + MIN(Table1[[#This Row],[unique-clicks]]/Table1[[#This Row],[unique-sends]],1)*50)
 * (1 + MIN(Table1[[#This Row],[unique-clicks]]/Table1[[#This Row],[unique-sends]],1))
 - ((Table1[[#This Row],[unsub]]/Table1[[#This Row],[unique-sends]]*100)*2)</f>
        <v>35.778061224489797</v>
      </c>
      <c r="P43" s="31" t="str">
        <f>IF(Table1[[#This Row],[Engagement Score]]&lt;30,"🔴",IF(Table1[[#This Row],[Engagement Score]]&lt;40,"🟡","🟢"))</f>
        <v>🟡</v>
      </c>
      <c r="Q43" s="10">
        <v>60</v>
      </c>
      <c r="R43" s="11">
        <v>10</v>
      </c>
      <c r="S43" s="11">
        <v>30</v>
      </c>
      <c r="T43" s="88"/>
    </row>
    <row r="44" spans="1:20" ht="32.1" customHeight="1">
      <c r="A44" s="76">
        <v>31</v>
      </c>
      <c r="B44" s="136" t="s">
        <v>69</v>
      </c>
      <c r="C44" s="67">
        <v>45861</v>
      </c>
      <c r="D44" s="15" t="s">
        <v>21</v>
      </c>
      <c r="E44" s="20" t="s">
        <v>25</v>
      </c>
      <c r="F44" s="19" t="s">
        <v>26</v>
      </c>
      <c r="G44" s="13">
        <v>52075</v>
      </c>
      <c r="H44" s="24">
        <v>31853</v>
      </c>
      <c r="I44" s="28">
        <v>852</v>
      </c>
      <c r="J44" s="16">
        <v>53</v>
      </c>
      <c r="K44" s="36">
        <f>(Table1[[#This Row],[unsub]]/Table1[[#This Row],[unique-sends]])*100</f>
        <v>0.10177628420547288</v>
      </c>
      <c r="L44" s="6">
        <f>Table1[[#This Row],[unique-opens]] / Table1[[#This Row],[unique-sends]] * 100</f>
        <v>61.167546807489202</v>
      </c>
      <c r="M44" s="31">
        <f>Table1[[#This Row],[unique-clicks]] / Table1[[#This Row],[unique-sends]] * 100</f>
        <v>1.6361017762842056</v>
      </c>
      <c r="N44" s="31">
        <f>Table1[[#This Row],[unique-clicks]] / Table1[[#This Row],[unique-opens]] * 100</f>
        <v>2.6747873041785701</v>
      </c>
      <c r="O44" s="37">
        <f>(MIN(Table1[[#This Row],[unique-opens]]/Table1[[#This Row],[unique-sends]],1)*50
 + MIN(Table1[[#This Row],[unique-clicks]]/Table1[[#This Row],[unique-sends]],1)*50)
 * (1 + MIN(Table1[[#This Row],[unique-clicks]]/Table1[[#This Row],[unique-sends]],1))
 - ((Table1[[#This Row],[unsub]]/Table1[[#This Row],[unique-sends]]*100)*2)</f>
        <v>31.712037528500964</v>
      </c>
      <c r="P44" s="37" t="str">
        <f>IF(Table1[[#This Row],[Engagement Score]]&lt;30,"🔴",IF(Table1[[#This Row],[Engagement Score]]&lt;40,"🟡","🟢"))</f>
        <v>🟡</v>
      </c>
      <c r="Q44" s="16">
        <v>63.7</v>
      </c>
      <c r="R44" s="16">
        <v>22.8</v>
      </c>
      <c r="S44" s="16">
        <v>13.6</v>
      </c>
      <c r="T44" s="131" t="s">
        <v>70</v>
      </c>
    </row>
    <row r="45" spans="1:20" ht="32.1" customHeight="1">
      <c r="A45" s="76">
        <v>31</v>
      </c>
      <c r="B45" s="136" t="s">
        <v>69</v>
      </c>
      <c r="C45" s="67">
        <v>45861</v>
      </c>
      <c r="D45" s="15" t="s">
        <v>28</v>
      </c>
      <c r="E45" s="20" t="s">
        <v>25</v>
      </c>
      <c r="F45" s="19" t="s">
        <v>26</v>
      </c>
      <c r="G45" s="9">
        <v>8068</v>
      </c>
      <c r="H45" s="25">
        <v>5683</v>
      </c>
      <c r="I45" s="29">
        <v>269</v>
      </c>
      <c r="J45" s="11">
        <v>0</v>
      </c>
      <c r="K45" s="36">
        <f>(Table1[[#This Row],[unsub]]/Table1[[#This Row],[unique-sends]])*100</f>
        <v>0</v>
      </c>
      <c r="L45" s="6">
        <f>Table1[[#This Row],[unique-opens]] / Table1[[#This Row],[unique-sends]] * 100</f>
        <v>70.438770451165098</v>
      </c>
      <c r="M45" s="31">
        <f>Table1[[#This Row],[unique-clicks]] / Table1[[#This Row],[unique-sends]] * 100</f>
        <v>3.3341596430342091</v>
      </c>
      <c r="N45" s="31">
        <f>Table1[[#This Row],[unique-clicks]] / Table1[[#This Row],[unique-opens]] * 100</f>
        <v>4.7334154495864862</v>
      </c>
      <c r="O45" s="37">
        <f>(MIN(Table1[[#This Row],[unique-opens]]/Table1[[#This Row],[unique-sends]],1)*50
 + MIN(Table1[[#This Row],[unique-clicks]]/Table1[[#This Row],[unique-sends]],1)*50)
 * (1 + MIN(Table1[[#This Row],[unique-clicks]]/Table1[[#This Row],[unique-sends]],1))
 - ((Table1[[#This Row],[unsub]]/Table1[[#This Row],[unique-sends]]*100)*2)</f>
        <v>38.116318678441971</v>
      </c>
      <c r="P45" s="37" t="str">
        <f>IF(Table1[[#This Row],[Engagement Score]]&lt;30,"🔴",IF(Table1[[#This Row],[Engagement Score]]&lt;40,"🟡","🟢"))</f>
        <v>🟡</v>
      </c>
      <c r="Q45" s="16">
        <v>59</v>
      </c>
      <c r="R45" s="16">
        <v>22.4</v>
      </c>
      <c r="S45" s="16">
        <v>18.600000000000001</v>
      </c>
      <c r="T45" s="131" t="s">
        <v>71</v>
      </c>
    </row>
    <row r="46" spans="1:20" ht="32.1" customHeight="1">
      <c r="A46" s="77">
        <v>30</v>
      </c>
      <c r="B46" s="137" t="s">
        <v>72</v>
      </c>
      <c r="C46" s="67">
        <v>45867</v>
      </c>
      <c r="D46" s="15" t="s">
        <v>21</v>
      </c>
      <c r="E46" s="20" t="s">
        <v>25</v>
      </c>
      <c r="F46" s="19" t="s">
        <v>26</v>
      </c>
      <c r="G46" s="13">
        <v>1628</v>
      </c>
      <c r="H46" s="24">
        <v>911</v>
      </c>
      <c r="I46" s="28">
        <v>53</v>
      </c>
      <c r="J46" s="16">
        <v>7</v>
      </c>
      <c r="K46" s="35">
        <f>(Table1[[#This Row],[unsub]]/Table1[[#This Row],[unique-sends]])*100</f>
        <v>0.42997542997542998</v>
      </c>
      <c r="L46" s="21">
        <f>Table1[[#This Row],[unique-opens]] / Table1[[#This Row],[unique-sends]] * 100</f>
        <v>55.958230958230956</v>
      </c>
      <c r="M46" s="37">
        <f>Table1[[#This Row],[unique-clicks]] / Table1[[#This Row],[unique-sends]] * 100</f>
        <v>3.2555282555282554</v>
      </c>
      <c r="N46" s="37">
        <f>Table1[[#This Row],[unique-clicks]] / Table1[[#This Row],[unique-opens]] * 100</f>
        <v>5.8177826564215147</v>
      </c>
      <c r="O46" s="37">
        <f>(MIN(Table1[[#This Row],[unique-opens]]/Table1[[#This Row],[unique-sends]],1)*50
 + MIN(Table1[[#This Row],[unique-clicks]]/Table1[[#This Row],[unique-sends]],1)*50)
 * (1 + MIN(Table1[[#This Row],[unique-clicks]]/Table1[[#This Row],[unique-sends]],1))
 - ((Table1[[#This Row],[unsub]]/Table1[[#This Row],[unique-sends]]*100)*2)</f>
        <v>29.710789078110945</v>
      </c>
      <c r="P46" s="37" t="str">
        <f>IF(Table1[[#This Row],[Engagement Score]]&lt;30,"🔴",IF(Table1[[#This Row],[Engagement Score]]&lt;40,"🟡","🟢"))</f>
        <v>🔴</v>
      </c>
      <c r="Q46" s="16">
        <v>0</v>
      </c>
      <c r="R46" s="16">
        <v>0</v>
      </c>
      <c r="S46" s="16">
        <v>0</v>
      </c>
      <c r="T46" s="130"/>
    </row>
    <row r="47" spans="1:20" ht="32.1" customHeight="1">
      <c r="A47" s="77">
        <v>30</v>
      </c>
      <c r="B47" s="137" t="s">
        <v>72</v>
      </c>
      <c r="C47" s="67">
        <v>45867</v>
      </c>
      <c r="D47" s="20" t="s">
        <v>28</v>
      </c>
      <c r="E47" s="20" t="s">
        <v>25</v>
      </c>
      <c r="F47" s="19" t="s">
        <v>26</v>
      </c>
      <c r="G47" s="9">
        <v>188</v>
      </c>
      <c r="H47" s="25">
        <v>127</v>
      </c>
      <c r="I47" s="29">
        <v>16</v>
      </c>
      <c r="J47" s="11">
        <v>0</v>
      </c>
      <c r="K47" s="36">
        <f>(Table1[[#This Row],[unsub]]/Table1[[#This Row],[unique-sends]])*100</f>
        <v>0</v>
      </c>
      <c r="L47" s="6">
        <f>Table1[[#This Row],[unique-opens]] / Table1[[#This Row],[unique-sends]] * 100</f>
        <v>67.553191489361694</v>
      </c>
      <c r="M47" s="31">
        <f>Table1[[#This Row],[unique-clicks]] / Table1[[#This Row],[unique-sends]] * 100</f>
        <v>8.5106382978723403</v>
      </c>
      <c r="N47" s="31">
        <f>Table1[[#This Row],[unique-clicks]] / Table1[[#This Row],[unique-opens]] * 100</f>
        <v>12.598425196850393</v>
      </c>
      <c r="O47" s="31">
        <f>(MIN(Table1[[#This Row],[unique-opens]]/Table1[[#This Row],[unique-sends]],1)*50
 + MIN(Table1[[#This Row],[unique-clicks]]/Table1[[#This Row],[unique-sends]],1)*50)
 * (1 + MIN(Table1[[#This Row],[unique-clicks]]/Table1[[#This Row],[unique-sends]],1))
 - ((Table1[[#This Row],[unsub]]/Table1[[#This Row],[unique-sends]]*100)*2)</f>
        <v>41.268673607967393</v>
      </c>
      <c r="P47" s="31" t="str">
        <f>IF(Table1[[#This Row],[Engagement Score]]&lt;30,"🔴",IF(Table1[[#This Row],[Engagement Score]]&lt;40,"🟡","🟢"))</f>
        <v>🟢</v>
      </c>
      <c r="Q47" s="11">
        <v>0</v>
      </c>
      <c r="R47" s="11">
        <v>0</v>
      </c>
      <c r="S47" s="11">
        <v>0</v>
      </c>
      <c r="T47" s="130"/>
    </row>
    <row r="48" spans="1:20" ht="32.1" customHeight="1">
      <c r="A48" s="77">
        <v>30</v>
      </c>
      <c r="B48" s="138" t="s">
        <v>73</v>
      </c>
      <c r="C48" s="67">
        <v>45867</v>
      </c>
      <c r="D48" s="15" t="s">
        <v>21</v>
      </c>
      <c r="E48" s="20" t="s">
        <v>25</v>
      </c>
      <c r="F48" s="19" t="s">
        <v>26</v>
      </c>
      <c r="G48" s="9">
        <v>1217</v>
      </c>
      <c r="H48" s="25">
        <v>733</v>
      </c>
      <c r="I48" s="29">
        <v>38</v>
      </c>
      <c r="J48" s="11">
        <v>1</v>
      </c>
      <c r="K48" s="36">
        <f>(Table1[[#This Row],[unsub]]/Table1[[#This Row],[unique-sends]])*100</f>
        <v>8.2169268693508629E-2</v>
      </c>
      <c r="L48" s="39">
        <f>Table1[[#This Row],[unique-opens]] / Table1[[#This Row],[unique-sends]] * 100</f>
        <v>60.230073952341826</v>
      </c>
      <c r="M48" s="40">
        <f>Table1[[#This Row],[unique-clicks]] / Table1[[#This Row],[unique-sends]] * 100</f>
        <v>3.122432210353328</v>
      </c>
      <c r="N48" s="40">
        <f>Table1[[#This Row],[unique-clicks]] / Table1[[#This Row],[unique-opens]] * 100</f>
        <v>5.1841746248294678</v>
      </c>
      <c r="O48" s="40">
        <f>(MIN(Table1[[#This Row],[unique-opens]]/Table1[[#This Row],[unique-sends]],1)*50
 + MIN(Table1[[#This Row],[unique-clicks]]/Table1[[#This Row],[unique-sends]],1)*50)
 * (1 + MIN(Table1[[#This Row],[unique-clicks]]/Table1[[#This Row],[unique-sends]],1))
 - ((Table1[[#This Row],[unsub]]/Table1[[#This Row],[unique-sends]]*100)*2)</f>
        <v>32.500984073205601</v>
      </c>
      <c r="P48" s="40" t="str">
        <f>IF(Table1[[#This Row],[Engagement Score]]&lt;30,"🔴",IF(Table1[[#This Row],[Engagement Score]]&lt;40,"🟡","🟢"))</f>
        <v>🟡</v>
      </c>
      <c r="Q48" s="11">
        <v>0</v>
      </c>
      <c r="R48" s="11">
        <v>0</v>
      </c>
      <c r="S48" s="11">
        <v>0</v>
      </c>
      <c r="T48" s="130"/>
    </row>
    <row r="49" spans="1:20" ht="32.1" customHeight="1">
      <c r="A49" s="76">
        <v>30</v>
      </c>
      <c r="B49" s="138" t="s">
        <v>73</v>
      </c>
      <c r="C49" s="67">
        <v>45867</v>
      </c>
      <c r="D49" s="20" t="s">
        <v>28</v>
      </c>
      <c r="E49" s="20" t="s">
        <v>25</v>
      </c>
      <c r="F49" s="19" t="s">
        <v>26</v>
      </c>
      <c r="G49" s="9">
        <v>155</v>
      </c>
      <c r="H49" s="25">
        <v>106</v>
      </c>
      <c r="I49" s="29">
        <v>4</v>
      </c>
      <c r="J49" s="11">
        <v>0</v>
      </c>
      <c r="K49" s="36">
        <f>(Table1[[#This Row],[unsub]]/Table1[[#This Row],[unique-sends]])*100</f>
        <v>0</v>
      </c>
      <c r="L49" s="39">
        <f>Table1[[#This Row],[unique-opens]] / Table1[[#This Row],[unique-sends]] * 100</f>
        <v>68.387096774193552</v>
      </c>
      <c r="M49" s="40">
        <f>Table1[[#This Row],[unique-clicks]] / Table1[[#This Row],[unique-sends]] * 100</f>
        <v>2.5806451612903225</v>
      </c>
      <c r="N49" s="40">
        <f>Table1[[#This Row],[unique-clicks]] / Table1[[#This Row],[unique-opens]] * 100</f>
        <v>3.7735849056603774</v>
      </c>
      <c r="O49" s="40">
        <f>(MIN(Table1[[#This Row],[unique-opens]]/Table1[[#This Row],[unique-sends]],1)*50
 + MIN(Table1[[#This Row],[unique-clicks]]/Table1[[#This Row],[unique-sends]],1)*50)
 * (1 + MIN(Table1[[#This Row],[unique-clicks]]/Table1[[#This Row],[unique-sends]],1))
 - ((Table1[[#This Row],[unsub]]/Table1[[#This Row],[unique-sends]]*100)*2)</f>
        <v>36.399583766909473</v>
      </c>
      <c r="P49" s="40" t="str">
        <f>IF(Table1[[#This Row],[Engagement Score]]&lt;30,"🔴",IF(Table1[[#This Row],[Engagement Score]]&lt;40,"🟡","🟢"))</f>
        <v>🟡</v>
      </c>
      <c r="Q49" s="11">
        <v>0</v>
      </c>
      <c r="R49" s="11">
        <v>0</v>
      </c>
      <c r="S49" s="11">
        <v>0</v>
      </c>
      <c r="T49" s="130"/>
    </row>
    <row r="50" spans="1:20" ht="32.1" customHeight="1">
      <c r="A50" s="76">
        <v>31</v>
      </c>
      <c r="B50" s="138" t="s">
        <v>74</v>
      </c>
      <c r="C50" s="67">
        <v>45867</v>
      </c>
      <c r="D50" s="20" t="s">
        <v>21</v>
      </c>
      <c r="E50" s="20" t="s">
        <v>25</v>
      </c>
      <c r="F50" s="19" t="s">
        <v>26</v>
      </c>
      <c r="G50" s="9">
        <v>8974</v>
      </c>
      <c r="H50" s="25">
        <v>5645</v>
      </c>
      <c r="I50" s="29">
        <v>165</v>
      </c>
      <c r="J50" s="11">
        <v>31</v>
      </c>
      <c r="K50" s="36">
        <f>(Table1[[#This Row],[unsub]]/Table1[[#This Row],[unique-sends]])*100</f>
        <v>0.34544238912413638</v>
      </c>
      <c r="L50" s="39">
        <f>Table1[[#This Row],[unique-opens]] / Table1[[#This Row],[unique-sends]] * 100</f>
        <v>62.903944729217741</v>
      </c>
      <c r="M50" s="40">
        <f>Table1[[#This Row],[unique-clicks]] / Table1[[#This Row],[unique-sends]] * 100</f>
        <v>1.8386449743704034</v>
      </c>
      <c r="N50" s="40">
        <f>Table1[[#This Row],[unique-clicks]] / Table1[[#This Row],[unique-opens]] * 100</f>
        <v>2.9229406554472983</v>
      </c>
      <c r="O50" s="40">
        <f>(MIN(Table1[[#This Row],[unique-opens]]/Table1[[#This Row],[unique-sends]],1)*50
 + MIN(Table1[[#This Row],[unique-clicks]]/Table1[[#This Row],[unique-sends]],1)*50)
 * (1 + MIN(Table1[[#This Row],[unique-clicks]]/Table1[[#This Row],[unique-sends]],1))
 - ((Table1[[#This Row],[unsub]]/Table1[[#This Row],[unique-sends]]*100)*2)</f>
        <v>32.275603259476938</v>
      </c>
      <c r="P50" s="40" t="str">
        <f>IF(Table1[[#This Row],[Engagement Score]]&lt;30,"🔴",IF(Table1[[#This Row],[Engagement Score]]&lt;40,"🟡","🟢"))</f>
        <v>🟡</v>
      </c>
      <c r="Q50" s="11">
        <v>61.8</v>
      </c>
      <c r="R50" s="11">
        <v>19.100000000000001</v>
      </c>
      <c r="S50" s="11">
        <v>19.100000000000001</v>
      </c>
      <c r="T50" s="131" t="s">
        <v>75</v>
      </c>
    </row>
    <row r="51" spans="1:20" ht="32.1" customHeight="1">
      <c r="A51" s="76">
        <v>31</v>
      </c>
      <c r="B51" s="138" t="s">
        <v>74</v>
      </c>
      <c r="C51" s="67">
        <v>45867</v>
      </c>
      <c r="D51" s="15" t="s">
        <v>28</v>
      </c>
      <c r="E51" s="20" t="s">
        <v>25</v>
      </c>
      <c r="F51" s="19" t="s">
        <v>26</v>
      </c>
      <c r="G51" s="9">
        <v>610</v>
      </c>
      <c r="H51" s="25">
        <v>388</v>
      </c>
      <c r="I51" s="29">
        <v>12</v>
      </c>
      <c r="J51" s="11">
        <v>0</v>
      </c>
      <c r="K51" s="36">
        <f>(Table1[[#This Row],[unsub]]/Table1[[#This Row],[unique-sends]])*100</f>
        <v>0</v>
      </c>
      <c r="L51" s="39">
        <f>Table1[[#This Row],[unique-opens]] / Table1[[#This Row],[unique-sends]] * 100</f>
        <v>63.606557377049178</v>
      </c>
      <c r="M51" s="40">
        <f>Table1[[#This Row],[unique-clicks]] / Table1[[#This Row],[unique-sends]] * 100</f>
        <v>1.9672131147540985</v>
      </c>
      <c r="N51" s="40">
        <f>Table1[[#This Row],[unique-clicks]] / Table1[[#This Row],[unique-opens]] * 100</f>
        <v>3.0927835051546393</v>
      </c>
      <c r="O51" s="40">
        <f>(MIN(Table1[[#This Row],[unique-opens]]/Table1[[#This Row],[unique-sends]],1)*50
 + MIN(Table1[[#This Row],[unique-clicks]]/Table1[[#This Row],[unique-sends]],1)*50)
 * (1 + MIN(Table1[[#This Row],[unique-clicks]]/Table1[[#This Row],[unique-sends]],1))
 - ((Table1[[#This Row],[unsub]]/Table1[[#This Row],[unique-sends]]*100)*2)</f>
        <v>33.431873152378387</v>
      </c>
      <c r="P51" s="40" t="str">
        <f>IF(Table1[[#This Row],[Engagement Score]]&lt;30,"🔴",IF(Table1[[#This Row],[Engagement Score]]&lt;40,"🟡","🟢"))</f>
        <v>🟡</v>
      </c>
      <c r="Q51" s="11">
        <v>52.4</v>
      </c>
      <c r="R51" s="11">
        <v>14.3</v>
      </c>
      <c r="S51" s="11">
        <v>33.299999999999997</v>
      </c>
      <c r="T51" s="131" t="s">
        <v>76</v>
      </c>
    </row>
    <row r="52" spans="1:20" ht="32.1" customHeight="1">
      <c r="A52" s="75">
        <v>14</v>
      </c>
      <c r="B52" s="138" t="s">
        <v>20</v>
      </c>
      <c r="C52" s="67">
        <v>45870</v>
      </c>
      <c r="D52" s="47" t="s">
        <v>21</v>
      </c>
      <c r="E52" s="48" t="s">
        <v>22</v>
      </c>
      <c r="F52" s="52" t="s">
        <v>23</v>
      </c>
      <c r="G52" s="9">
        <v>1899</v>
      </c>
      <c r="H52" s="25">
        <v>2119</v>
      </c>
      <c r="I52" s="29">
        <v>50</v>
      </c>
      <c r="J52" s="11">
        <v>19</v>
      </c>
      <c r="K52" s="36">
        <f>(Table1[[#This Row],[unsub]]/Table1[[#This Row],[unique-sends]])*100</f>
        <v>1.0005265929436546</v>
      </c>
      <c r="L52" s="6">
        <f>Table1[[#This Row],[unique-opens]] / Table1[[#This Row],[unique-sends]] * 100</f>
        <v>111.58504476040021</v>
      </c>
      <c r="M52" s="31">
        <f>Table1[[#This Row],[unique-clicks]] / Table1[[#This Row],[unique-sends]] * 100</f>
        <v>2.6329647182727749</v>
      </c>
      <c r="N52" s="31">
        <f>Table1[[#This Row],[unique-clicks]] / Table1[[#This Row],[unique-opens]] * 100</f>
        <v>2.3596035865974514</v>
      </c>
      <c r="O52" s="31">
        <f>(MIN(Table1[[#This Row],[unique-opens]]/Table1[[#This Row],[unique-sends]],1)*50
 + MIN(Table1[[#This Row],[unique-clicks]]/Table1[[#This Row],[unique-sends]],1)*50)
 * (1 + MIN(Table1[[#This Row],[unique-clicks]]/Table1[[#This Row],[unique-sends]],1))
 - ((Table1[[#This Row],[unsub]]/Table1[[#This Row],[unique-sends]]*100)*2)</f>
        <v>50.666574048423811</v>
      </c>
      <c r="P52" s="31" t="str">
        <f>IF(Table1[[#This Row],[Engagement Score]]&lt;30,"🔴",IF(Table1[[#This Row],[Engagement Score]]&lt;40,"🟡","🟢"))</f>
        <v>🟢</v>
      </c>
      <c r="Q52" s="10">
        <v>0</v>
      </c>
      <c r="R52" s="10">
        <v>0</v>
      </c>
      <c r="S52" s="10">
        <v>0</v>
      </c>
      <c r="T52" s="130"/>
    </row>
    <row r="53" spans="1:20" ht="32.1" customHeight="1">
      <c r="A53" s="75">
        <v>34</v>
      </c>
      <c r="B53" s="136" t="s">
        <v>30</v>
      </c>
      <c r="C53" s="67">
        <v>45870</v>
      </c>
      <c r="D53" s="47" t="s">
        <v>21</v>
      </c>
      <c r="E53" s="48" t="s">
        <v>22</v>
      </c>
      <c r="F53" s="52" t="s">
        <v>23</v>
      </c>
      <c r="G53" s="13">
        <v>5410</v>
      </c>
      <c r="H53" s="24">
        <v>3834</v>
      </c>
      <c r="I53" s="28">
        <v>130</v>
      </c>
      <c r="J53" s="16">
        <v>0</v>
      </c>
      <c r="K53" s="35">
        <f>(Table1[[#This Row],[unsub]]/Table1[[#This Row],[unique-sends]])*100</f>
        <v>0</v>
      </c>
      <c r="L53" s="21">
        <f>Table1[[#This Row],[unique-opens]] / Table1[[#This Row],[unique-sends]] * 100</f>
        <v>70.868761552680226</v>
      </c>
      <c r="M53" s="37">
        <f>Table1[[#This Row],[unique-clicks]] / Table1[[#This Row],[unique-sends]] * 100</f>
        <v>2.4029574861367835</v>
      </c>
      <c r="N53" s="37">
        <f>Table1[[#This Row],[unique-clicks]] / Table1[[#This Row],[unique-opens]] * 100</f>
        <v>3.3907146583202921</v>
      </c>
      <c r="O53" s="37">
        <f>(MIN(Table1[[#This Row],[unique-opens]]/Table1[[#This Row],[unique-sends]],1)*50
 + MIN(Table1[[#This Row],[unique-clicks]]/Table1[[#This Row],[unique-sends]],1)*50)
 * (1 + MIN(Table1[[#This Row],[unique-clicks]]/Table1[[#This Row],[unique-sends]],1))
 - ((Table1[[#This Row],[unsub]]/Table1[[#This Row],[unique-sends]]*100)*2)</f>
        <v>37.516203648340692</v>
      </c>
      <c r="P53" s="37" t="str">
        <f>IF(Table1[[#This Row],[Engagement Score]]&lt;30,"🔴",IF(Table1[[#This Row],[Engagement Score]]&lt;40,"🟡","🟢"))</f>
        <v>🟡</v>
      </c>
      <c r="Q53" s="14">
        <v>0</v>
      </c>
      <c r="R53" s="14">
        <v>0</v>
      </c>
      <c r="S53" s="14">
        <v>0</v>
      </c>
      <c r="T53" s="130"/>
    </row>
    <row r="54" spans="1:20" ht="32.1" customHeight="1">
      <c r="A54" s="75">
        <v>35</v>
      </c>
      <c r="B54" s="136" t="s">
        <v>31</v>
      </c>
      <c r="C54" s="67">
        <v>45870</v>
      </c>
      <c r="D54" s="41" t="s">
        <v>21</v>
      </c>
      <c r="E54" s="46" t="s">
        <v>22</v>
      </c>
      <c r="F54" s="52" t="s">
        <v>23</v>
      </c>
      <c r="G54" s="9">
        <v>3461</v>
      </c>
      <c r="H54" s="25">
        <v>1904</v>
      </c>
      <c r="I54" s="29">
        <v>211</v>
      </c>
      <c r="J54" s="11">
        <v>7</v>
      </c>
      <c r="K54" s="36">
        <f>(Table1[[#This Row],[unsub]]/Table1[[#This Row],[unique-sends]])*100</f>
        <v>0.20225368390638546</v>
      </c>
      <c r="L54" s="6">
        <f>Table1[[#This Row],[unique-opens]] / Table1[[#This Row],[unique-sends]] * 100</f>
        <v>55.013002022536838</v>
      </c>
      <c r="M54" s="31">
        <f>Table1[[#This Row],[unique-clicks]] / Table1[[#This Row],[unique-sends]] * 100</f>
        <v>6.096503900606761</v>
      </c>
      <c r="N54" s="31">
        <f>Table1[[#This Row],[unique-clicks]] / Table1[[#This Row],[unique-opens]] * 100</f>
        <v>11.081932773109243</v>
      </c>
      <c r="O54" s="31">
        <f>(MIN(Table1[[#This Row],[unique-opens]]/Table1[[#This Row],[unique-sends]],1)*50
 + MIN(Table1[[#This Row],[unique-clicks]]/Table1[[#This Row],[unique-sends]],1)*50)
 * (1 + MIN(Table1[[#This Row],[unique-clicks]]/Table1[[#This Row],[unique-sends]],1))
 - ((Table1[[#This Row],[unsub]]/Table1[[#This Row],[unique-sends]]*100)*2)</f>
        <v>32.013017299882016</v>
      </c>
      <c r="P54" s="31" t="str">
        <f>IF(Table1[[#This Row],[Engagement Score]]&lt;30,"🔴",IF(Table1[[#This Row],[Engagement Score]]&lt;40,"🟡","🟢"))</f>
        <v>🟡</v>
      </c>
      <c r="Q54" s="10">
        <v>0</v>
      </c>
      <c r="R54" s="10">
        <v>0</v>
      </c>
      <c r="S54" s="10">
        <v>0</v>
      </c>
      <c r="T54" s="130"/>
    </row>
    <row r="55" spans="1:20" ht="32.1" customHeight="1">
      <c r="A55" s="75">
        <v>36</v>
      </c>
      <c r="B55" s="136" t="s">
        <v>31</v>
      </c>
      <c r="C55" s="67">
        <v>45870</v>
      </c>
      <c r="D55" s="38" t="s">
        <v>28</v>
      </c>
      <c r="E55" s="47" t="s">
        <v>22</v>
      </c>
      <c r="F55" s="52" t="s">
        <v>23</v>
      </c>
      <c r="G55" s="13">
        <v>148</v>
      </c>
      <c r="H55" s="24">
        <v>115</v>
      </c>
      <c r="I55" s="28">
        <v>23</v>
      </c>
      <c r="J55" s="16">
        <v>0</v>
      </c>
      <c r="K55" s="35">
        <f>(Table1[[#This Row],[unsub]]/Table1[[#This Row],[unique-sends]])*100</f>
        <v>0</v>
      </c>
      <c r="L55" s="21">
        <f>Table1[[#This Row],[unique-opens]] / Table1[[#This Row],[unique-sends]] * 100</f>
        <v>77.702702702702695</v>
      </c>
      <c r="M55" s="37">
        <f>Table1[[#This Row],[unique-clicks]] / Table1[[#This Row],[unique-sends]] * 100</f>
        <v>15.54054054054054</v>
      </c>
      <c r="N55" s="37">
        <f>Table1[[#This Row],[unique-clicks]] / Table1[[#This Row],[unique-opens]] * 100</f>
        <v>20</v>
      </c>
      <c r="O55" s="37">
        <f>(MIN(Table1[[#This Row],[unique-opens]]/Table1[[#This Row],[unique-sends]],1)*50
 + MIN(Table1[[#This Row],[unique-clicks]]/Table1[[#This Row],[unique-sends]],1)*50)
 * (1 + MIN(Table1[[#This Row],[unique-clicks]]/Table1[[#This Row],[unique-sends]],1))
 - ((Table1[[#This Row],[unsub]]/Table1[[#This Row],[unique-sends]]*100)*2)</f>
        <v>53.86687363038714</v>
      </c>
      <c r="P55" s="37" t="str">
        <f>IF(Table1[[#This Row],[Engagement Score]]&lt;30,"🔴",IF(Table1[[#This Row],[Engagement Score]]&lt;40,"🟡","🟢"))</f>
        <v>🟢</v>
      </c>
      <c r="Q55" s="14">
        <v>0</v>
      </c>
      <c r="R55" s="14">
        <v>0</v>
      </c>
      <c r="S55" s="14">
        <v>0</v>
      </c>
      <c r="T55" s="130"/>
    </row>
    <row r="56" spans="1:20" ht="32.1" customHeight="1">
      <c r="A56" s="75">
        <v>38</v>
      </c>
      <c r="B56" s="136" t="s">
        <v>32</v>
      </c>
      <c r="C56" s="67">
        <v>45870</v>
      </c>
      <c r="D56" s="15" t="s">
        <v>21</v>
      </c>
      <c r="E56" s="15" t="s">
        <v>22</v>
      </c>
      <c r="F56" s="19" t="s">
        <v>23</v>
      </c>
      <c r="G56" s="9">
        <v>4486</v>
      </c>
      <c r="H56" s="25">
        <v>2891</v>
      </c>
      <c r="I56" s="29">
        <v>108</v>
      </c>
      <c r="J56" s="11">
        <v>12</v>
      </c>
      <c r="K56" s="36">
        <f>(Table1[[#This Row],[unsub]]/Table1[[#This Row],[unique-sends]])*100</f>
        <v>0.26749888542131073</v>
      </c>
      <c r="L56" s="6">
        <f>Table1[[#This Row],[unique-opens]] / Table1[[#This Row],[unique-sends]] * 100</f>
        <v>64.444939812750775</v>
      </c>
      <c r="M56" s="31">
        <f>Table1[[#This Row],[unique-clicks]] / Table1[[#This Row],[unique-sends]] * 100</f>
        <v>2.4074899687917966</v>
      </c>
      <c r="N56" s="37">
        <f>Table1[[#This Row],[unique-clicks]] / Table1[[#This Row],[unique-opens]] * 100</f>
        <v>3.7357315807679004</v>
      </c>
      <c r="O56" s="37">
        <f>(MIN(Table1[[#This Row],[unique-opens]]/Table1[[#This Row],[unique-sends]],1)*50
 + MIN(Table1[[#This Row],[unique-clicks]]/Table1[[#This Row],[unique-sends]],1)*50)
 * (1 + MIN(Table1[[#This Row],[unique-clicks]]/Table1[[#This Row],[unique-sends]],1))
 - ((Table1[[#This Row],[unsub]]/Table1[[#This Row],[unique-sends]]*100)*2)</f>
        <v>33.69594989037077</v>
      </c>
      <c r="P56" s="37" t="str">
        <f>IF(Table1[[#This Row],[Engagement Score]]&lt;30,"🔴",IF(Table1[[#This Row],[Engagement Score]]&lt;40,"🟡","🟢"))</f>
        <v>🟡</v>
      </c>
      <c r="Q56" s="10">
        <v>0</v>
      </c>
      <c r="R56" s="11">
        <v>0</v>
      </c>
      <c r="S56" s="11">
        <v>0</v>
      </c>
      <c r="T56" s="88"/>
    </row>
    <row r="57" spans="1:20" ht="32.1" customHeight="1">
      <c r="A57" s="75">
        <v>38</v>
      </c>
      <c r="B57" s="136" t="s">
        <v>33</v>
      </c>
      <c r="C57" s="67">
        <v>45870</v>
      </c>
      <c r="D57" s="38" t="s">
        <v>21</v>
      </c>
      <c r="E57" s="47" t="s">
        <v>22</v>
      </c>
      <c r="F57" s="52" t="s">
        <v>23</v>
      </c>
      <c r="G57" s="9">
        <v>50</v>
      </c>
      <c r="H57" s="25">
        <v>131</v>
      </c>
      <c r="I57" s="29">
        <v>30</v>
      </c>
      <c r="J57" s="11">
        <v>0</v>
      </c>
      <c r="K57" s="36">
        <f>(Table1[[#This Row],[unsub]]/Table1[[#This Row],[unique-sends]])*100</f>
        <v>0</v>
      </c>
      <c r="L57" s="39">
        <f>Table1[[#This Row],[unique-opens]] / Table1[[#This Row],[unique-sends]] * 100</f>
        <v>262</v>
      </c>
      <c r="M57" s="40">
        <f>Table1[[#This Row],[unique-clicks]] / Table1[[#This Row],[unique-sends]] * 100</f>
        <v>60</v>
      </c>
      <c r="N57" s="37">
        <f>Table1[[#This Row],[unique-clicks]] / Table1[[#This Row],[unique-opens]] * 100</f>
        <v>22.900763358778626</v>
      </c>
      <c r="O57" s="37">
        <f>(MIN(Table1[[#This Row],[unique-opens]]/Table1[[#This Row],[unique-sends]],1)*50
 + MIN(Table1[[#This Row],[unique-clicks]]/Table1[[#This Row],[unique-sends]],1)*50)
 * (1 + MIN(Table1[[#This Row],[unique-clicks]]/Table1[[#This Row],[unique-sends]],1))
 - ((Table1[[#This Row],[unsub]]/Table1[[#This Row],[unique-sends]]*100)*2)</f>
        <v>128</v>
      </c>
      <c r="P57" s="37" t="str">
        <f>IF(Table1[[#This Row],[Engagement Score]]&lt;30,"🔴",IF(Table1[[#This Row],[Engagement Score]]&lt;40,"🟡","🟢"))</f>
        <v>🟢</v>
      </c>
      <c r="Q57" s="10">
        <v>0</v>
      </c>
      <c r="R57" s="10">
        <v>0</v>
      </c>
      <c r="S57" s="10">
        <v>0</v>
      </c>
      <c r="T57" s="88"/>
    </row>
    <row r="58" spans="1:20" ht="32.1" customHeight="1">
      <c r="A58" s="75">
        <v>39</v>
      </c>
      <c r="B58" s="136" t="s">
        <v>32</v>
      </c>
      <c r="C58" s="67">
        <v>45870</v>
      </c>
      <c r="D58" s="15" t="s">
        <v>28</v>
      </c>
      <c r="E58" s="15" t="s">
        <v>22</v>
      </c>
      <c r="F58" s="19" t="s">
        <v>23</v>
      </c>
      <c r="G58" s="13">
        <v>163</v>
      </c>
      <c r="H58" s="24">
        <v>81</v>
      </c>
      <c r="I58" s="28">
        <v>4</v>
      </c>
      <c r="J58" s="16">
        <v>0</v>
      </c>
      <c r="K58" s="35">
        <f>(Table1[[#This Row],[unsub]]/Table1[[#This Row],[unique-sends]])*100</f>
        <v>0</v>
      </c>
      <c r="L58" s="21">
        <f>Table1[[#This Row],[unique-opens]] / Table1[[#This Row],[unique-sends]] * 100</f>
        <v>49.693251533742334</v>
      </c>
      <c r="M58" s="37">
        <f>Table1[[#This Row],[unique-clicks]] / Table1[[#This Row],[unique-sends]] * 100</f>
        <v>2.4539877300613497</v>
      </c>
      <c r="N58" s="37">
        <f>Table1[[#This Row],[unique-clicks]] / Table1[[#This Row],[unique-opens]] * 100</f>
        <v>4.9382716049382713</v>
      </c>
      <c r="O58" s="37">
        <f>(MIN(Table1[[#This Row],[unique-opens]]/Table1[[#This Row],[unique-sends]],1)*50
 + MIN(Table1[[#This Row],[unique-clicks]]/Table1[[#This Row],[unique-sends]],1)*50)
 * (1 + MIN(Table1[[#This Row],[unique-clicks]]/Table1[[#This Row],[unique-sends]],1))
 - ((Table1[[#This Row],[unsub]]/Table1[[#This Row],[unique-sends]]*100)*2)</f>
        <v>26.713463058451584</v>
      </c>
      <c r="P58" s="37" t="str">
        <f>IF(Table1[[#This Row],[Engagement Score]]&lt;30,"🔴",IF(Table1[[#This Row],[Engagement Score]]&lt;40,"🟡","🟢"))</f>
        <v>🔴</v>
      </c>
      <c r="Q58" s="14">
        <v>0</v>
      </c>
      <c r="R58" s="16">
        <v>0</v>
      </c>
      <c r="S58" s="16">
        <v>0</v>
      </c>
      <c r="T58" s="130"/>
    </row>
    <row r="59" spans="1:20" ht="32.1" customHeight="1">
      <c r="A59" s="75">
        <v>39</v>
      </c>
      <c r="B59" s="136" t="s">
        <v>33</v>
      </c>
      <c r="C59" s="67">
        <v>45870</v>
      </c>
      <c r="D59" s="38" t="s">
        <v>28</v>
      </c>
      <c r="E59" s="47" t="s">
        <v>22</v>
      </c>
      <c r="F59" s="52" t="s">
        <v>23</v>
      </c>
      <c r="G59" s="9">
        <v>10</v>
      </c>
      <c r="H59" s="25">
        <v>10</v>
      </c>
      <c r="I59" s="29">
        <v>4</v>
      </c>
      <c r="J59" s="11">
        <v>0</v>
      </c>
      <c r="K59" s="36">
        <f>(Table1[[#This Row],[unsub]]/Table1[[#This Row],[unique-sends]])*100</f>
        <v>0</v>
      </c>
      <c r="L59" s="6">
        <f>Table1[[#This Row],[unique-opens]] / Table1[[#This Row],[unique-sends]] * 100</f>
        <v>100</v>
      </c>
      <c r="M59" s="31">
        <f>Table1[[#This Row],[unique-clicks]] / Table1[[#This Row],[unique-sends]] * 100</f>
        <v>40</v>
      </c>
      <c r="N59" s="37">
        <f>Table1[[#This Row],[unique-clicks]] / Table1[[#This Row],[unique-opens]] * 100</f>
        <v>40</v>
      </c>
      <c r="O59" s="37">
        <f>(MIN(Table1[[#This Row],[unique-opens]]/Table1[[#This Row],[unique-sends]],1)*50
 + MIN(Table1[[#This Row],[unique-clicks]]/Table1[[#This Row],[unique-sends]],1)*50)
 * (1 + MIN(Table1[[#This Row],[unique-clicks]]/Table1[[#This Row],[unique-sends]],1))
 - ((Table1[[#This Row],[unsub]]/Table1[[#This Row],[unique-sends]]*100)*2)</f>
        <v>98</v>
      </c>
      <c r="P59" s="37" t="str">
        <f>IF(Table1[[#This Row],[Engagement Score]]&lt;30,"🔴",IF(Table1[[#This Row],[Engagement Score]]&lt;40,"🟡","🟢"))</f>
        <v>🟢</v>
      </c>
      <c r="Q59" s="10">
        <v>0</v>
      </c>
      <c r="R59" s="10">
        <v>0</v>
      </c>
      <c r="S59" s="10">
        <v>0</v>
      </c>
      <c r="T59" s="88"/>
    </row>
    <row r="60" spans="1:20" ht="32.1" customHeight="1">
      <c r="A60" s="75">
        <v>40</v>
      </c>
      <c r="B60" s="136" t="s">
        <v>34</v>
      </c>
      <c r="C60" s="67">
        <v>45870</v>
      </c>
      <c r="D60" s="15" t="s">
        <v>21</v>
      </c>
      <c r="E60" s="38" t="s">
        <v>22</v>
      </c>
      <c r="F60" s="19" t="s">
        <v>23</v>
      </c>
      <c r="G60" s="9">
        <v>769</v>
      </c>
      <c r="H60" s="25">
        <v>469</v>
      </c>
      <c r="I60" s="29">
        <v>36</v>
      </c>
      <c r="J60" s="11">
        <v>4</v>
      </c>
      <c r="K60" s="36">
        <f>(Table1[[#This Row],[unsub]]/Table1[[#This Row],[unique-sends]])*100</f>
        <v>0.52015604681404426</v>
      </c>
      <c r="L60" s="6">
        <f>Table1[[#This Row],[unique-opens]] / Table1[[#This Row],[unique-sends]] * 100</f>
        <v>60.988296488946681</v>
      </c>
      <c r="M60" s="31">
        <f>Table1[[#This Row],[unique-clicks]] / Table1[[#This Row],[unique-sends]] * 100</f>
        <v>4.6814044213263983</v>
      </c>
      <c r="N60" s="37">
        <f>Table1[[#This Row],[unique-clicks]] / Table1[[#This Row],[unique-opens]] * 100</f>
        <v>7.6759061833688706</v>
      </c>
      <c r="O60" s="37">
        <f>(MIN(Table1[[#This Row],[unique-opens]]/Table1[[#This Row],[unique-sends]],1)*50
 + MIN(Table1[[#This Row],[unique-clicks]]/Table1[[#This Row],[unique-sends]],1)*50)
 * (1 + MIN(Table1[[#This Row],[unique-clicks]]/Table1[[#This Row],[unique-sends]],1))
 - ((Table1[[#This Row],[unsub]]/Table1[[#This Row],[unique-sends]]*100)*2)</f>
        <v>33.331670502451125</v>
      </c>
      <c r="P60" s="37" t="str">
        <f>IF(Table1[[#This Row],[Engagement Score]]&lt;30,"🔴",IF(Table1[[#This Row],[Engagement Score]]&lt;40,"🟡","🟢"))</f>
        <v>🟡</v>
      </c>
      <c r="Q60" s="10">
        <v>0</v>
      </c>
      <c r="R60" s="10">
        <v>0</v>
      </c>
      <c r="S60" s="10">
        <v>0</v>
      </c>
      <c r="T60" s="88"/>
    </row>
    <row r="61" spans="1:20" ht="32.1" customHeight="1">
      <c r="A61" s="75">
        <v>41</v>
      </c>
      <c r="B61" s="136" t="s">
        <v>35</v>
      </c>
      <c r="C61" s="67">
        <v>45870</v>
      </c>
      <c r="D61" s="15" t="s">
        <v>21</v>
      </c>
      <c r="E61" s="38" t="s">
        <v>22</v>
      </c>
      <c r="F61" s="19" t="s">
        <v>23</v>
      </c>
      <c r="G61" s="13">
        <v>377</v>
      </c>
      <c r="H61" s="24">
        <v>211</v>
      </c>
      <c r="I61" s="28">
        <v>15</v>
      </c>
      <c r="J61" s="16">
        <v>0</v>
      </c>
      <c r="K61" s="35">
        <f>(Table1[[#This Row],[unsub]]/Table1[[#This Row],[unique-sends]])*100</f>
        <v>0</v>
      </c>
      <c r="L61" s="21">
        <f>Table1[[#This Row],[unique-opens]] / Table1[[#This Row],[unique-sends]] * 100</f>
        <v>55.968169761273209</v>
      </c>
      <c r="M61" s="37">
        <f>Table1[[#This Row],[unique-clicks]] / Table1[[#This Row],[unique-sends]] * 100</f>
        <v>3.978779840848806</v>
      </c>
      <c r="N61" s="37">
        <f>Table1[[#This Row],[unique-clicks]] / Table1[[#This Row],[unique-opens]] * 100</f>
        <v>7.109004739336493</v>
      </c>
      <c r="O61" s="37">
        <f>(MIN(Table1[[#This Row],[unique-opens]]/Table1[[#This Row],[unique-sends]],1)*50
 + MIN(Table1[[#This Row],[unique-clicks]]/Table1[[#This Row],[unique-sends]],1)*50)
 * (1 + MIN(Table1[[#This Row],[unique-clicks]]/Table1[[#This Row],[unique-sends]],1))
 - ((Table1[[#This Row],[unsub]]/Table1[[#This Row],[unique-sends]]*100)*2)</f>
        <v>31.166053374047518</v>
      </c>
      <c r="P61" s="37" t="str">
        <f>IF(Table1[[#This Row],[Engagement Score]]&lt;30,"🔴",IF(Table1[[#This Row],[Engagement Score]]&lt;40,"🟡","🟢"))</f>
        <v>🟡</v>
      </c>
      <c r="Q61" s="14">
        <v>0</v>
      </c>
      <c r="R61" s="14">
        <v>0</v>
      </c>
      <c r="S61" s="14">
        <v>0</v>
      </c>
      <c r="T61" s="130"/>
    </row>
    <row r="62" spans="1:20" ht="32.1" customHeight="1">
      <c r="A62" s="75">
        <v>42</v>
      </c>
      <c r="B62" s="136" t="s">
        <v>36</v>
      </c>
      <c r="C62" s="67">
        <v>45870</v>
      </c>
      <c r="D62" s="15" t="s">
        <v>21</v>
      </c>
      <c r="E62" s="38" t="s">
        <v>22</v>
      </c>
      <c r="F62" s="19" t="s">
        <v>23</v>
      </c>
      <c r="G62" s="9">
        <v>1538</v>
      </c>
      <c r="H62" s="25">
        <v>1017</v>
      </c>
      <c r="I62" s="29">
        <v>42</v>
      </c>
      <c r="J62" s="11">
        <v>10</v>
      </c>
      <c r="K62" s="36">
        <f>(Table1[[#This Row],[unsub]]/Table1[[#This Row],[unique-sends]])*100</f>
        <v>0.65019505851755521</v>
      </c>
      <c r="L62" s="6">
        <f>Table1[[#This Row],[unique-opens]] / Table1[[#This Row],[unique-sends]] * 100</f>
        <v>66.124837451235379</v>
      </c>
      <c r="M62" s="31">
        <f>Table1[[#This Row],[unique-clicks]] / Table1[[#This Row],[unique-sends]] * 100</f>
        <v>2.7308192457737324</v>
      </c>
      <c r="N62" s="37">
        <f>Table1[[#This Row],[unique-clicks]] / Table1[[#This Row],[unique-opens]] * 100</f>
        <v>4.1297935103244834</v>
      </c>
      <c r="O62" s="37">
        <f>(MIN(Table1[[#This Row],[unique-opens]]/Table1[[#This Row],[unique-sends]],1)*50
 + MIN(Table1[[#This Row],[unique-clicks]]/Table1[[#This Row],[unique-sends]],1)*50)
 * (1 + MIN(Table1[[#This Row],[unique-clicks]]/Table1[[#This Row],[unique-sends]],1))
 - ((Table1[[#This Row],[unsub]]/Table1[[#This Row],[unique-sends]]*100)*2)</f>
        <v>34.06759999391236</v>
      </c>
      <c r="P62" s="37" t="str">
        <f>IF(Table1[[#This Row],[Engagement Score]]&lt;30,"🔴",IF(Table1[[#This Row],[Engagement Score]]&lt;40,"🟡","🟢"))</f>
        <v>🟡</v>
      </c>
      <c r="Q62" s="10">
        <v>0</v>
      </c>
      <c r="R62" s="10">
        <v>0</v>
      </c>
      <c r="S62" s="10">
        <v>0</v>
      </c>
      <c r="T62" s="88"/>
    </row>
    <row r="63" spans="1:20" ht="32.1" customHeight="1">
      <c r="A63" s="75">
        <v>43</v>
      </c>
      <c r="B63" s="136" t="s">
        <v>37</v>
      </c>
      <c r="C63" s="67">
        <v>45870</v>
      </c>
      <c r="D63" s="15" t="s">
        <v>21</v>
      </c>
      <c r="E63" s="38" t="s">
        <v>22</v>
      </c>
      <c r="F63" s="19" t="s">
        <v>23</v>
      </c>
      <c r="G63" s="13">
        <v>798</v>
      </c>
      <c r="H63" s="24">
        <v>437</v>
      </c>
      <c r="I63" s="28">
        <v>42</v>
      </c>
      <c r="J63" s="16">
        <v>1</v>
      </c>
      <c r="K63" s="35">
        <f>(Table1[[#This Row],[unsub]]/Table1[[#This Row],[unique-sends]])*100</f>
        <v>0.12531328320802004</v>
      </c>
      <c r="L63" s="21">
        <f>Table1[[#This Row],[unique-opens]] / Table1[[#This Row],[unique-sends]] * 100</f>
        <v>54.761904761904766</v>
      </c>
      <c r="M63" s="37">
        <f>Table1[[#This Row],[unique-clicks]] / Table1[[#This Row],[unique-sends]] * 100</f>
        <v>5.2631578947368416</v>
      </c>
      <c r="N63" s="37">
        <f>Table1[[#This Row],[unique-clicks]] / Table1[[#This Row],[unique-opens]] * 100</f>
        <v>9.610983981693364</v>
      </c>
      <c r="O63" s="37">
        <f>(MIN(Table1[[#This Row],[unique-opens]]/Table1[[#This Row],[unique-sends]],1)*50
 + MIN(Table1[[#This Row],[unique-clicks]]/Table1[[#This Row],[unique-sends]],1)*50)
 * (1 + MIN(Table1[[#This Row],[unique-clicks]]/Table1[[#This Row],[unique-sends]],1))
 - ((Table1[[#This Row],[unsub]]/Table1[[#This Row],[unique-sends]]*100)*2)</f>
        <v>31.341511673921644</v>
      </c>
      <c r="P63" s="37" t="str">
        <f>IF(Table1[[#This Row],[Engagement Score]]&lt;30,"🔴",IF(Table1[[#This Row],[Engagement Score]]&lt;40,"🟡","🟢"))</f>
        <v>🟡</v>
      </c>
      <c r="Q63" s="14">
        <v>0</v>
      </c>
      <c r="R63" s="14">
        <v>0</v>
      </c>
      <c r="S63" s="14">
        <v>0</v>
      </c>
      <c r="T63" s="130"/>
    </row>
    <row r="64" spans="1:20" ht="32.1" customHeight="1">
      <c r="A64" s="75">
        <v>44</v>
      </c>
      <c r="B64" s="136" t="s">
        <v>38</v>
      </c>
      <c r="C64" s="67">
        <v>45870</v>
      </c>
      <c r="D64" s="15" t="s">
        <v>21</v>
      </c>
      <c r="E64" s="38" t="s">
        <v>22</v>
      </c>
      <c r="F64" s="19" t="s">
        <v>23</v>
      </c>
      <c r="G64" s="13">
        <v>119</v>
      </c>
      <c r="H64" s="24">
        <v>74</v>
      </c>
      <c r="I64" s="28">
        <v>6</v>
      </c>
      <c r="J64" s="16">
        <v>0</v>
      </c>
      <c r="K64" s="35">
        <f>(Table1[[#This Row],[unsub]]/Table1[[#This Row],[unique-sends]])*100</f>
        <v>0</v>
      </c>
      <c r="L64" s="21">
        <f>Table1[[#This Row],[unique-opens]] / Table1[[#This Row],[unique-sends]] * 100</f>
        <v>62.184873949579831</v>
      </c>
      <c r="M64" s="37">
        <f>Table1[[#This Row],[unique-clicks]] / Table1[[#This Row],[unique-sends]] * 100</f>
        <v>5.0420168067226889</v>
      </c>
      <c r="N64" s="37">
        <f>Table1[[#This Row],[unique-clicks]] / Table1[[#This Row],[unique-opens]] * 100</f>
        <v>8.1081081081081088</v>
      </c>
      <c r="O64" s="37">
        <f>(MIN(Table1[[#This Row],[unique-opens]]/Table1[[#This Row],[unique-sends]],1)*50
 + MIN(Table1[[#This Row],[unique-clicks]]/Table1[[#This Row],[unique-sends]],1)*50)
 * (1 + MIN(Table1[[#This Row],[unique-clicks]]/Table1[[#This Row],[unique-sends]],1))
 - ((Table1[[#This Row],[unsub]]/Table1[[#This Row],[unique-sends]]*100)*2)</f>
        <v>35.308240943436203</v>
      </c>
      <c r="P64" s="37" t="str">
        <f>IF(Table1[[#This Row],[Engagement Score]]&lt;30,"🔴",IF(Table1[[#This Row],[Engagement Score]]&lt;40,"🟡","🟢"))</f>
        <v>🟡</v>
      </c>
      <c r="Q64" s="14">
        <v>0</v>
      </c>
      <c r="R64" s="14">
        <v>0</v>
      </c>
      <c r="S64" s="14">
        <v>0</v>
      </c>
      <c r="T64" s="130"/>
    </row>
    <row r="65" spans="1:20" ht="32.1" customHeight="1">
      <c r="A65" s="75">
        <v>45</v>
      </c>
      <c r="B65" s="136" t="s">
        <v>39</v>
      </c>
      <c r="C65" s="67">
        <v>45870</v>
      </c>
      <c r="D65" s="15" t="s">
        <v>28</v>
      </c>
      <c r="E65" s="15" t="s">
        <v>22</v>
      </c>
      <c r="F65" s="19" t="s">
        <v>23</v>
      </c>
      <c r="G65" s="56">
        <v>181</v>
      </c>
      <c r="H65" s="57">
        <v>118</v>
      </c>
      <c r="I65" s="59">
        <v>8</v>
      </c>
      <c r="J65" s="56">
        <v>0</v>
      </c>
      <c r="K65" s="35">
        <f>(Table1[[#This Row],[unsub]]/Table1[[#This Row],[unique-sends]])*100</f>
        <v>0</v>
      </c>
      <c r="L65" s="21">
        <f>Table1[[#This Row],[unique-opens]] / Table1[[#This Row],[unique-sends]] * 100</f>
        <v>65.193370165745861</v>
      </c>
      <c r="M65" s="37">
        <f>Table1[[#This Row],[unique-clicks]] / Table1[[#This Row],[unique-sends]] * 100</f>
        <v>4.4198895027624303</v>
      </c>
      <c r="N65" s="37">
        <f>Table1[[#This Row],[unique-clicks]] / Table1[[#This Row],[unique-opens]] * 100</f>
        <v>6.7796610169491522</v>
      </c>
      <c r="O65" s="37">
        <f>(MIN(Table1[[#This Row],[unique-opens]]/Table1[[#This Row],[unique-sends]],1)*50
 + MIN(Table1[[#This Row],[unique-clicks]]/Table1[[#This Row],[unique-sends]],1)*50)
 * (1 + MIN(Table1[[#This Row],[unique-clicks]]/Table1[[#This Row],[unique-sends]],1))
 - ((Table1[[#This Row],[unsub]]/Table1[[#This Row],[unique-sends]]*100)*2)</f>
        <v>36.345044412563716</v>
      </c>
      <c r="P65" s="37" t="str">
        <f>IF(Table1[[#This Row],[Engagement Score]]&lt;30,"🔴",IF(Table1[[#This Row],[Engagement Score]]&lt;40,"🟡","🟢"))</f>
        <v>🟡</v>
      </c>
      <c r="Q65" s="14">
        <v>0</v>
      </c>
      <c r="R65" s="14">
        <v>0</v>
      </c>
      <c r="S65" s="14">
        <v>0</v>
      </c>
      <c r="T65" s="130"/>
    </row>
    <row r="66" spans="1:20" ht="32.1" customHeight="1">
      <c r="A66" s="75">
        <v>45</v>
      </c>
      <c r="B66" s="136" t="s">
        <v>40</v>
      </c>
      <c r="C66" s="67">
        <v>45870</v>
      </c>
      <c r="D66" s="15" t="s">
        <v>28</v>
      </c>
      <c r="E66" s="15" t="s">
        <v>22</v>
      </c>
      <c r="F66" s="19" t="s">
        <v>23</v>
      </c>
      <c r="G66" s="13">
        <v>71</v>
      </c>
      <c r="H66" s="24">
        <v>55</v>
      </c>
      <c r="I66" s="28">
        <v>5</v>
      </c>
      <c r="J66" s="16">
        <v>0</v>
      </c>
      <c r="K66" s="35">
        <f>(Table1[[#This Row],[unsub]]/Table1[[#This Row],[unique-sends]])*100</f>
        <v>0</v>
      </c>
      <c r="L66" s="21">
        <f>Table1[[#This Row],[unique-opens]] / Table1[[#This Row],[unique-sends]] * 100</f>
        <v>77.464788732394368</v>
      </c>
      <c r="M66" s="37">
        <f>Table1[[#This Row],[unique-clicks]] / Table1[[#This Row],[unique-sends]] * 100</f>
        <v>7.042253521126761</v>
      </c>
      <c r="N66" s="37">
        <f>Table1[[#This Row],[unique-clicks]] / Table1[[#This Row],[unique-opens]] * 100</f>
        <v>9.0909090909090917</v>
      </c>
      <c r="O66" s="37">
        <f>(MIN(Table1[[#This Row],[unique-opens]]/Table1[[#This Row],[unique-sends]],1)*50
 + MIN(Table1[[#This Row],[unique-clicks]]/Table1[[#This Row],[unique-sends]],1)*50)
 * (1 + MIN(Table1[[#This Row],[unique-clicks]]/Table1[[#This Row],[unique-sends]],1))
 - ((Table1[[#This Row],[unsub]]/Table1[[#This Row],[unique-sends]]*100)*2)</f>
        <v>45.229121206109902</v>
      </c>
      <c r="P66" s="37" t="str">
        <f>IF(Table1[[#This Row],[Engagement Score]]&lt;30,"🔴",IF(Table1[[#This Row],[Engagement Score]]&lt;40,"🟡","🟢"))</f>
        <v>🟢</v>
      </c>
      <c r="Q66" s="14">
        <v>0</v>
      </c>
      <c r="R66" s="14">
        <v>0</v>
      </c>
      <c r="S66" s="14">
        <v>0</v>
      </c>
      <c r="T66" s="130"/>
    </row>
    <row r="67" spans="1:20" ht="32.1" customHeight="1">
      <c r="A67" s="75">
        <v>46</v>
      </c>
      <c r="B67" s="136" t="s">
        <v>39</v>
      </c>
      <c r="C67" s="67">
        <v>45870</v>
      </c>
      <c r="D67" s="15" t="s">
        <v>21</v>
      </c>
      <c r="E67" s="15" t="s">
        <v>22</v>
      </c>
      <c r="F67" s="19" t="s">
        <v>23</v>
      </c>
      <c r="G67" s="56">
        <v>5486</v>
      </c>
      <c r="H67" s="57">
        <v>3228</v>
      </c>
      <c r="I67" s="59">
        <v>413</v>
      </c>
      <c r="J67" s="56">
        <v>6</v>
      </c>
      <c r="K67" s="35">
        <f>(Table1[[#This Row],[unsub]]/Table1[[#This Row],[unique-sends]])*100</f>
        <v>0.10936930368209989</v>
      </c>
      <c r="L67" s="21">
        <f>Table1[[#This Row],[unique-opens]] / Table1[[#This Row],[unique-sends]] * 100</f>
        <v>58.840685380969738</v>
      </c>
      <c r="M67" s="37">
        <f>Table1[[#This Row],[unique-clicks]] / Table1[[#This Row],[unique-sends]] * 100</f>
        <v>7.528253736784543</v>
      </c>
      <c r="N67" s="37">
        <f>Table1[[#This Row],[unique-clicks]] / Table1[[#This Row],[unique-opens]] * 100</f>
        <v>12.794299876084262</v>
      </c>
      <c r="O67" s="37">
        <f>(MIN(Table1[[#This Row],[unique-opens]]/Table1[[#This Row],[unique-sends]],1)*50
 + MIN(Table1[[#This Row],[unique-clicks]]/Table1[[#This Row],[unique-sends]],1)*50)
 * (1 + MIN(Table1[[#This Row],[unique-clicks]]/Table1[[#This Row],[unique-sends]],1))
 - ((Table1[[#This Row],[unsub]]/Table1[[#This Row],[unique-sends]]*100)*2)</f>
        <v>35.463942021111237</v>
      </c>
      <c r="P67" s="37" t="str">
        <f>IF(Table1[[#This Row],[Engagement Score]]&lt;30,"🔴",IF(Table1[[#This Row],[Engagement Score]]&lt;40,"🟡","🟢"))</f>
        <v>🟡</v>
      </c>
      <c r="Q67" s="14">
        <v>0</v>
      </c>
      <c r="R67" s="14">
        <v>0</v>
      </c>
      <c r="S67" s="14">
        <v>0</v>
      </c>
      <c r="T67" s="130"/>
    </row>
    <row r="68" spans="1:20" ht="32.1" customHeight="1">
      <c r="A68" s="75">
        <v>46</v>
      </c>
      <c r="B68" s="136" t="s">
        <v>40</v>
      </c>
      <c r="C68" s="67">
        <v>45870</v>
      </c>
      <c r="D68" s="20" t="s">
        <v>21</v>
      </c>
      <c r="E68" s="15" t="s">
        <v>22</v>
      </c>
      <c r="F68" s="19" t="s">
        <v>23</v>
      </c>
      <c r="G68" s="9">
        <v>1991</v>
      </c>
      <c r="H68" s="25">
        <v>1202</v>
      </c>
      <c r="I68" s="29">
        <v>180</v>
      </c>
      <c r="J68" s="16">
        <v>3</v>
      </c>
      <c r="K68" s="35">
        <f>(Table1[[#This Row],[unsub]]/Table1[[#This Row],[unique-sends]])*100</f>
        <v>0.15067805123053743</v>
      </c>
      <c r="L68" s="6">
        <f>Table1[[#This Row],[unique-opens]] / Table1[[#This Row],[unique-sends]] * 100</f>
        <v>60.371672526368656</v>
      </c>
      <c r="M68" s="31">
        <f>Table1[[#This Row],[unique-clicks]] / Table1[[#This Row],[unique-sends]] * 100</f>
        <v>9.0406830738322448</v>
      </c>
      <c r="N68" s="37">
        <f>Table1[[#This Row],[unique-clicks]] / Table1[[#This Row],[unique-opens]] * 100</f>
        <v>14.975041597337771</v>
      </c>
      <c r="O68" s="37">
        <f>(MIN(Table1[[#This Row],[unique-opens]]/Table1[[#This Row],[unique-sends]],1)*50
 + MIN(Table1[[#This Row],[unique-clicks]]/Table1[[#This Row],[unique-sends]],1)*50)
 * (1 + MIN(Table1[[#This Row],[unique-clicks]]/Table1[[#This Row],[unique-sends]],1))
 - ((Table1[[#This Row],[unsub]]/Table1[[#This Row],[unique-sends]]*100)*2)</f>
        <v>37.542497239587171</v>
      </c>
      <c r="P68" s="37" t="str">
        <f>IF(Table1[[#This Row],[Engagement Score]]&lt;30,"🔴",IF(Table1[[#This Row],[Engagement Score]]&lt;40,"🟡","🟢"))</f>
        <v>🟡</v>
      </c>
      <c r="Q68" s="14">
        <v>0</v>
      </c>
      <c r="R68" s="14">
        <v>0</v>
      </c>
      <c r="S68" s="14">
        <v>0</v>
      </c>
      <c r="T68" s="130"/>
    </row>
    <row r="69" spans="1:20" ht="32.1" customHeight="1">
      <c r="A69" s="75">
        <v>47</v>
      </c>
      <c r="B69" s="136" t="s">
        <v>42</v>
      </c>
      <c r="C69" s="67">
        <v>45870</v>
      </c>
      <c r="D69" s="15" t="s">
        <v>21</v>
      </c>
      <c r="E69" s="38" t="s">
        <v>22</v>
      </c>
      <c r="F69" s="19" t="s">
        <v>23</v>
      </c>
      <c r="G69" s="13">
        <v>4841</v>
      </c>
      <c r="H69" s="24">
        <v>3405</v>
      </c>
      <c r="I69" s="28">
        <v>320</v>
      </c>
      <c r="J69" s="16">
        <v>25</v>
      </c>
      <c r="K69" s="35">
        <f>(Table1[[#This Row],[unsub]]/Table1[[#This Row],[unique-sends]])*100</f>
        <v>0.51642222681264194</v>
      </c>
      <c r="L69" s="21">
        <f>Table1[[#This Row],[unique-opens]] / Table1[[#This Row],[unique-sends]] * 100</f>
        <v>70.336707291881837</v>
      </c>
      <c r="M69" s="37">
        <f>Table1[[#This Row],[unique-clicks]] / Table1[[#This Row],[unique-sends]] * 100</f>
        <v>6.6102045032018175</v>
      </c>
      <c r="N69" s="37">
        <f>Table1[[#This Row],[unique-clicks]] / Table1[[#This Row],[unique-opens]] * 100</f>
        <v>9.3979441997063144</v>
      </c>
      <c r="O69" s="37">
        <f>(MIN(Table1[[#This Row],[unique-opens]]/Table1[[#This Row],[unique-sends]],1)*50
 + MIN(Table1[[#This Row],[unique-clicks]]/Table1[[#This Row],[unique-sends]],1)*50)
 * (1 + MIN(Table1[[#This Row],[unique-clicks]]/Table1[[#This Row],[unique-sends]],1))
 - ((Table1[[#This Row],[unsub]]/Table1[[#This Row],[unique-sends]]*100)*2)</f>
        <v>39.983785558193219</v>
      </c>
      <c r="P69" s="37" t="str">
        <f>IF(Table1[[#This Row],[Engagement Score]]&lt;30,"🔴",IF(Table1[[#This Row],[Engagement Score]]&lt;40,"🟡","🟢"))</f>
        <v>🟡</v>
      </c>
      <c r="Q69" s="14">
        <v>0</v>
      </c>
      <c r="R69" s="14">
        <v>0</v>
      </c>
      <c r="S69" s="14">
        <v>0</v>
      </c>
      <c r="T69" s="130"/>
    </row>
    <row r="70" spans="1:20" ht="32.1" customHeight="1">
      <c r="A70" s="75">
        <v>48</v>
      </c>
      <c r="B70" s="136" t="s">
        <v>42</v>
      </c>
      <c r="C70" s="67">
        <v>45870</v>
      </c>
      <c r="D70" s="15" t="s">
        <v>28</v>
      </c>
      <c r="E70" s="38" t="s">
        <v>22</v>
      </c>
      <c r="F70" s="19" t="s">
        <v>23</v>
      </c>
      <c r="G70" s="9">
        <v>217</v>
      </c>
      <c r="H70" s="25">
        <v>148</v>
      </c>
      <c r="I70" s="29">
        <v>14</v>
      </c>
      <c r="J70" s="11">
        <v>0</v>
      </c>
      <c r="K70" s="36">
        <f>(Table1[[#This Row],[unsub]]/Table1[[#This Row],[unique-sends]])*100</f>
        <v>0</v>
      </c>
      <c r="L70" s="6">
        <f>Table1[[#This Row],[unique-opens]] / Table1[[#This Row],[unique-sends]] * 100</f>
        <v>68.202764976958534</v>
      </c>
      <c r="M70" s="31">
        <f>Table1[[#This Row],[unique-clicks]] / Table1[[#This Row],[unique-sends]] * 100</f>
        <v>6.4516129032258061</v>
      </c>
      <c r="N70" s="37">
        <f>Table1[[#This Row],[unique-clicks]] / Table1[[#This Row],[unique-opens]] * 100</f>
        <v>9.4594594594594597</v>
      </c>
      <c r="O70" s="37">
        <f>(MIN(Table1[[#This Row],[unique-opens]]/Table1[[#This Row],[unique-sends]],1)*50
 + MIN(Table1[[#This Row],[unique-clicks]]/Table1[[#This Row],[unique-sends]],1)*50)
 * (1 + MIN(Table1[[#This Row],[unique-clicks]]/Table1[[#This Row],[unique-sends]],1))
 - ((Table1[[#This Row],[unsub]]/Table1[[#This Row],[unique-sends]]*100)*2)</f>
        <v>39.735394678162635</v>
      </c>
      <c r="P70" s="37" t="str">
        <f>IF(Table1[[#This Row],[Engagement Score]]&lt;30,"🔴",IF(Table1[[#This Row],[Engagement Score]]&lt;40,"🟡","🟢"))</f>
        <v>🟡</v>
      </c>
      <c r="Q70" s="10">
        <v>0</v>
      </c>
      <c r="R70" s="10">
        <v>0</v>
      </c>
      <c r="S70" s="10">
        <v>0</v>
      </c>
      <c r="T70" s="88"/>
    </row>
    <row r="71" spans="1:20" ht="32.1" customHeight="1">
      <c r="A71" s="75">
        <v>49</v>
      </c>
      <c r="B71" s="136" t="s">
        <v>43</v>
      </c>
      <c r="C71" s="67">
        <v>45870</v>
      </c>
      <c r="D71" s="15" t="s">
        <v>21</v>
      </c>
      <c r="E71" s="38" t="s">
        <v>22</v>
      </c>
      <c r="F71" s="19" t="s">
        <v>23</v>
      </c>
      <c r="G71" s="13">
        <v>3525</v>
      </c>
      <c r="H71" s="24">
        <v>2628</v>
      </c>
      <c r="I71" s="28">
        <v>136</v>
      </c>
      <c r="J71" s="16">
        <v>8</v>
      </c>
      <c r="K71" s="35">
        <f>(Table1[[#This Row],[unsub]]/Table1[[#This Row],[unique-sends]])*100</f>
        <v>0.22695035460992907</v>
      </c>
      <c r="L71" s="21">
        <f>Table1[[#This Row],[unique-opens]] / Table1[[#This Row],[unique-sends]] * 100</f>
        <v>74.553191489361708</v>
      </c>
      <c r="M71" s="37">
        <f>Table1[[#This Row],[unique-clicks]] / Table1[[#This Row],[unique-sends]] * 100</f>
        <v>3.8581560283687941</v>
      </c>
      <c r="N71" s="37">
        <f>Table1[[#This Row],[unique-clicks]] / Table1[[#This Row],[unique-opens]] * 100</f>
        <v>5.1750380517503807</v>
      </c>
      <c r="O71" s="37">
        <f>(MIN(Table1[[#This Row],[unique-opens]]/Table1[[#This Row],[unique-sends]],1)*50
 + MIN(Table1[[#This Row],[unique-clicks]]/Table1[[#This Row],[unique-sends]],1)*50)
 * (1 + MIN(Table1[[#This Row],[unique-clicks]]/Table1[[#This Row],[unique-sends]],1))
 - ((Table1[[#This Row],[unsub]]/Table1[[#This Row],[unique-sends]]*100)*2)</f>
        <v>40.264389115235652</v>
      </c>
      <c r="P71" s="37" t="str">
        <f>IF(Table1[[#This Row],[Engagement Score]]&lt;30,"🔴",IF(Table1[[#This Row],[Engagement Score]]&lt;40,"🟡","🟢"))</f>
        <v>🟢</v>
      </c>
      <c r="Q71" s="14">
        <v>0</v>
      </c>
      <c r="R71" s="14">
        <v>0</v>
      </c>
      <c r="S71" s="14">
        <v>0</v>
      </c>
      <c r="T71" s="130"/>
    </row>
    <row r="72" spans="1:20" ht="32.1" customHeight="1">
      <c r="A72" s="75">
        <v>50</v>
      </c>
      <c r="B72" s="136" t="s">
        <v>43</v>
      </c>
      <c r="C72" s="67">
        <v>45870</v>
      </c>
      <c r="D72" s="20" t="s">
        <v>28</v>
      </c>
      <c r="E72" s="38" t="s">
        <v>22</v>
      </c>
      <c r="F72" s="19" t="s">
        <v>23</v>
      </c>
      <c r="G72" s="9">
        <v>165</v>
      </c>
      <c r="H72" s="25">
        <v>133</v>
      </c>
      <c r="I72" s="29">
        <v>16</v>
      </c>
      <c r="J72" s="16">
        <v>1</v>
      </c>
      <c r="K72" s="35">
        <f>(Table1[[#This Row],[unsub]]/Table1[[#This Row],[unique-sends]])*100</f>
        <v>0.60606060606060608</v>
      </c>
      <c r="L72" s="6">
        <f>Table1[[#This Row],[unique-opens]] / Table1[[#This Row],[unique-sends]] * 100</f>
        <v>80.606060606060609</v>
      </c>
      <c r="M72" s="31">
        <f>Table1[[#This Row],[unique-clicks]] / Table1[[#This Row],[unique-sends]] * 100</f>
        <v>9.6969696969696972</v>
      </c>
      <c r="N72" s="37">
        <f>Table1[[#This Row],[unique-clicks]] / Table1[[#This Row],[unique-opens]] * 100</f>
        <v>12.030075187969924</v>
      </c>
      <c r="O72" s="37">
        <f>(MIN(Table1[[#This Row],[unique-opens]]/Table1[[#This Row],[unique-sends]],1)*50
 + MIN(Table1[[#This Row],[unique-clicks]]/Table1[[#This Row],[unique-sends]],1)*50)
 * (1 + MIN(Table1[[#This Row],[unique-clicks]]/Table1[[#This Row],[unique-sends]],1))
 - ((Table1[[#This Row],[unsub]]/Table1[[#This Row],[unique-sends]]*100)*2)</f>
        <v>48.317722681359051</v>
      </c>
      <c r="P72" s="37" t="str">
        <f>IF(Table1[[#This Row],[Engagement Score]]&lt;30,"🔴",IF(Table1[[#This Row],[Engagement Score]]&lt;40,"🟡","🟢"))</f>
        <v>🟢</v>
      </c>
      <c r="Q72" s="10">
        <v>0</v>
      </c>
      <c r="R72" s="10">
        <v>0</v>
      </c>
      <c r="S72" s="10">
        <v>0</v>
      </c>
      <c r="T72" s="88"/>
    </row>
    <row r="73" spans="1:20" ht="32.1" customHeight="1">
      <c r="A73" s="75">
        <v>51</v>
      </c>
      <c r="B73" s="136" t="s">
        <v>44</v>
      </c>
      <c r="C73" s="67">
        <v>45870</v>
      </c>
      <c r="D73" s="41" t="s">
        <v>28</v>
      </c>
      <c r="E73" s="41" t="s">
        <v>22</v>
      </c>
      <c r="F73" s="52" t="s">
        <v>23</v>
      </c>
      <c r="G73" s="13">
        <v>106</v>
      </c>
      <c r="H73" s="24">
        <v>63</v>
      </c>
      <c r="I73" s="28">
        <v>5</v>
      </c>
      <c r="J73" s="16">
        <v>1</v>
      </c>
      <c r="K73" s="35">
        <f>(Table1[[#This Row],[unsub]]/Table1[[#This Row],[unique-sends]])*100</f>
        <v>0.94339622641509435</v>
      </c>
      <c r="L73" s="21">
        <f>Table1[[#This Row],[unique-opens]] / Table1[[#This Row],[unique-sends]] * 100</f>
        <v>59.433962264150942</v>
      </c>
      <c r="M73" s="37">
        <f>Table1[[#This Row],[unique-clicks]] / Table1[[#This Row],[unique-sends]] * 100</f>
        <v>4.716981132075472</v>
      </c>
      <c r="N73" s="37">
        <f>Table1[[#This Row],[unique-clicks]] / Table1[[#This Row],[unique-opens]] * 100</f>
        <v>7.9365079365079358</v>
      </c>
      <c r="O73" s="37">
        <f>(MIN(Table1[[#This Row],[unique-opens]]/Table1[[#This Row],[unique-sends]],1)*50
 + MIN(Table1[[#This Row],[unique-clicks]]/Table1[[#This Row],[unique-sends]],1)*50)
 * (1 + MIN(Table1[[#This Row],[unique-clicks]]/Table1[[#This Row],[unique-sends]],1))
 - ((Table1[[#This Row],[unsub]]/Table1[[#This Row],[unique-sends]]*100)*2)</f>
        <v>31.701673193307226</v>
      </c>
      <c r="P73" s="37" t="str">
        <f>IF(Table1[[#This Row],[Engagement Score]]&lt;30,"🔴",IF(Table1[[#This Row],[Engagement Score]]&lt;40,"🟡","🟢"))</f>
        <v>🟡</v>
      </c>
      <c r="Q73" s="14">
        <v>0</v>
      </c>
      <c r="R73" s="16">
        <v>0</v>
      </c>
      <c r="S73" s="16">
        <v>0</v>
      </c>
      <c r="T73" s="130"/>
    </row>
    <row r="74" spans="1:20" ht="32.1" customHeight="1">
      <c r="A74" s="75">
        <v>53</v>
      </c>
      <c r="B74" s="136" t="s">
        <v>44</v>
      </c>
      <c r="C74" s="67">
        <v>45870</v>
      </c>
      <c r="D74" s="15" t="s">
        <v>21</v>
      </c>
      <c r="E74" s="20" t="s">
        <v>22</v>
      </c>
      <c r="F74" s="19" t="s">
        <v>23</v>
      </c>
      <c r="G74" s="9">
        <v>846</v>
      </c>
      <c r="H74" s="25">
        <v>673</v>
      </c>
      <c r="I74" s="29">
        <v>64</v>
      </c>
      <c r="J74" s="11">
        <v>8</v>
      </c>
      <c r="K74" s="36">
        <f>(Table1[[#This Row],[unsub]]/Table1[[#This Row],[unique-sends]])*100</f>
        <v>0.94562647754137119</v>
      </c>
      <c r="L74" s="6">
        <f>Table1[[#This Row],[unique-opens]] / Table1[[#This Row],[unique-sends]] * 100</f>
        <v>79.550827423167846</v>
      </c>
      <c r="M74" s="31">
        <f>Table1[[#This Row],[unique-clicks]] / Table1[[#This Row],[unique-sends]] * 100</f>
        <v>7.5650118203309695</v>
      </c>
      <c r="N74" s="37">
        <f>Table1[[#This Row],[unique-clicks]] / Table1[[#This Row],[unique-opens]] * 100</f>
        <v>9.5096582466567607</v>
      </c>
      <c r="O74" s="37">
        <f>(MIN(Table1[[#This Row],[unique-opens]]/Table1[[#This Row],[unique-sends]],1)*50
 + MIN(Table1[[#This Row],[unique-clicks]]/Table1[[#This Row],[unique-sends]],1)*50)
 * (1 + MIN(Table1[[#This Row],[unique-clicks]]/Table1[[#This Row],[unique-sends]],1))
 - ((Table1[[#This Row],[unsub]]/Table1[[#This Row],[unique-sends]]*100)*2)</f>
        <v>44.961828434742273</v>
      </c>
      <c r="P74" s="37" t="str">
        <f>IF(Table1[[#This Row],[Engagement Score]]&lt;30,"🔴",IF(Table1[[#This Row],[Engagement Score]]&lt;40,"🟡","🟢"))</f>
        <v>🟢</v>
      </c>
      <c r="Q74" s="10">
        <v>0</v>
      </c>
      <c r="R74" s="11">
        <v>0</v>
      </c>
      <c r="S74" s="11">
        <v>0</v>
      </c>
      <c r="T74" s="88"/>
    </row>
    <row r="75" spans="1:20" ht="32.1" customHeight="1">
      <c r="A75" s="75">
        <v>54</v>
      </c>
      <c r="B75" s="136" t="s">
        <v>77</v>
      </c>
      <c r="C75" s="67">
        <v>45870</v>
      </c>
      <c r="D75" s="47" t="s">
        <v>21</v>
      </c>
      <c r="E75" s="46" t="s">
        <v>22</v>
      </c>
      <c r="F75" s="52" t="s">
        <v>23</v>
      </c>
      <c r="G75" s="13">
        <v>4935</v>
      </c>
      <c r="H75" s="24">
        <v>3424</v>
      </c>
      <c r="I75" s="28">
        <v>242</v>
      </c>
      <c r="J75" s="16">
        <v>17</v>
      </c>
      <c r="K75" s="35">
        <f>(Table1[[#This Row],[unsub]]/Table1[[#This Row],[unique-sends]])*100</f>
        <v>0.34447821681864232</v>
      </c>
      <c r="L75" s="21">
        <f>Table1[[#This Row],[unique-opens]] / Table1[[#This Row],[unique-sends]] * 100</f>
        <v>69.381965552178315</v>
      </c>
      <c r="M75" s="37">
        <f>Table1[[#This Row],[unique-clicks]] / Table1[[#This Row],[unique-sends]] * 100</f>
        <v>4.9037487335359673</v>
      </c>
      <c r="N75" s="37">
        <f>Table1[[#This Row],[unique-clicks]] / Table1[[#This Row],[unique-opens]] * 100</f>
        <v>7.0677570093457946</v>
      </c>
      <c r="O75" s="37">
        <f>(MIN(Table1[[#This Row],[unique-opens]]/Table1[[#This Row],[unique-sends]],1)*50
 + MIN(Table1[[#This Row],[unique-clicks]]/Table1[[#This Row],[unique-sends]],1)*50)
 * (1 + MIN(Table1[[#This Row],[unique-clicks]]/Table1[[#This Row],[unique-sends]],1))
 - ((Table1[[#This Row],[unsub]]/Table1[[#This Row],[unique-sends]]*100)*2)</f>
        <v>38.275293095961779</v>
      </c>
      <c r="P75" s="37" t="str">
        <f>IF(Table1[[#This Row],[Engagement Score]]&lt;30,"🔴",IF(Table1[[#This Row],[Engagement Score]]&lt;40,"🟡","🟢"))</f>
        <v>🟡</v>
      </c>
      <c r="Q75" s="14">
        <v>0</v>
      </c>
      <c r="R75" s="16">
        <v>0</v>
      </c>
      <c r="S75" s="16">
        <v>0</v>
      </c>
      <c r="T75" s="130"/>
    </row>
    <row r="76" spans="1:20" ht="32.1" customHeight="1">
      <c r="A76" s="75">
        <v>55</v>
      </c>
      <c r="B76" s="136" t="s">
        <v>77</v>
      </c>
      <c r="C76" s="67">
        <v>45870</v>
      </c>
      <c r="D76" s="41" t="s">
        <v>28</v>
      </c>
      <c r="E76" s="46" t="s">
        <v>22</v>
      </c>
      <c r="F76" s="52" t="s">
        <v>23</v>
      </c>
      <c r="G76" s="9">
        <v>254</v>
      </c>
      <c r="H76" s="25">
        <v>114</v>
      </c>
      <c r="I76" s="29">
        <v>12</v>
      </c>
      <c r="J76" s="11">
        <v>1</v>
      </c>
      <c r="K76" s="36">
        <f>(Table1[[#This Row],[unsub]]/Table1[[#This Row],[unique-sends]])*100</f>
        <v>0.39370078740157477</v>
      </c>
      <c r="L76" s="6">
        <f>Table1[[#This Row],[unique-opens]] / Table1[[#This Row],[unique-sends]] * 100</f>
        <v>44.881889763779526</v>
      </c>
      <c r="M76" s="31">
        <f>Table1[[#This Row],[unique-clicks]] / Table1[[#This Row],[unique-sends]] * 100</f>
        <v>4.7244094488188972</v>
      </c>
      <c r="N76" s="37">
        <f>Table1[[#This Row],[unique-clicks]] / Table1[[#This Row],[unique-opens]] * 100</f>
        <v>10.526315789473683</v>
      </c>
      <c r="O76" s="37">
        <f>(MIN(Table1[[#This Row],[unique-opens]]/Table1[[#This Row],[unique-sends]],1)*50
 + MIN(Table1[[#This Row],[unique-clicks]]/Table1[[#This Row],[unique-sends]],1)*50)
 * (1 + MIN(Table1[[#This Row],[unique-clicks]]/Table1[[#This Row],[unique-sends]],1))
 - ((Table1[[#This Row],[unsub]]/Table1[[#This Row],[unique-sends]]*100)*2)</f>
        <v>25.187550375100749</v>
      </c>
      <c r="P76" s="37" t="str">
        <f>IF(Table1[[#This Row],[Engagement Score]]&lt;30,"🔴",IF(Table1[[#This Row],[Engagement Score]]&lt;40,"🟡","🟢"))</f>
        <v>🔴</v>
      </c>
      <c r="Q76" s="10">
        <v>0</v>
      </c>
      <c r="R76" s="11">
        <v>0</v>
      </c>
      <c r="S76" s="11">
        <v>0</v>
      </c>
      <c r="T76" s="88"/>
    </row>
    <row r="77" spans="1:20" ht="32.1" customHeight="1">
      <c r="A77" s="75">
        <v>61</v>
      </c>
      <c r="B77" s="136" t="s">
        <v>78</v>
      </c>
      <c r="C77" s="67">
        <v>45870</v>
      </c>
      <c r="D77" s="15" t="s">
        <v>21</v>
      </c>
      <c r="E77" s="20" t="s">
        <v>22</v>
      </c>
      <c r="F77" s="19" t="s">
        <v>26</v>
      </c>
      <c r="G77" s="9">
        <v>2677</v>
      </c>
      <c r="H77" s="25">
        <v>418</v>
      </c>
      <c r="I77" s="29">
        <v>24</v>
      </c>
      <c r="J77" s="16">
        <v>0</v>
      </c>
      <c r="K77" s="35">
        <f>(Table1[[#This Row],[unsub]]/Table1[[#This Row],[unique-sends]])*100</f>
        <v>0</v>
      </c>
      <c r="L77" s="6">
        <f>Table1[[#This Row],[unique-opens]] / Table1[[#This Row],[unique-sends]] * 100</f>
        <v>15.61449383638401</v>
      </c>
      <c r="M77" s="31">
        <f>Table1[[#This Row],[unique-clicks]] / Table1[[#This Row],[unique-sends]] * 100</f>
        <v>0.89652596189764666</v>
      </c>
      <c r="N77" s="37">
        <f>Table1[[#This Row],[unique-clicks]] / Table1[[#This Row],[unique-opens]] * 100</f>
        <v>5.741626794258373</v>
      </c>
      <c r="O77" s="37">
        <f>(MIN(Table1[[#This Row],[unique-opens]]/Table1[[#This Row],[unique-sends]],1)*50
 + MIN(Table1[[#This Row],[unique-clicks]]/Table1[[#This Row],[unique-sends]],1)*50)
 * (1 + MIN(Table1[[#This Row],[unique-clicks]]/Table1[[#This Row],[unique-sends]],1))
 - ((Table1[[#This Row],[unsub]]/Table1[[#This Row],[unique-sends]]*100)*2)</f>
        <v>8.3295226886736575</v>
      </c>
      <c r="P77" s="37" t="str">
        <f>IF(Table1[[#This Row],[Engagement Score]]&lt;30,"🔴",IF(Table1[[#This Row],[Engagement Score]]&lt;40,"🟡","🟢"))</f>
        <v>🔴</v>
      </c>
      <c r="Q77" s="11">
        <v>68.5</v>
      </c>
      <c r="R77" s="11">
        <v>17.2</v>
      </c>
      <c r="S77" s="11">
        <v>14.3</v>
      </c>
      <c r="T77" s="131" t="s">
        <v>79</v>
      </c>
    </row>
    <row r="78" spans="1:20" ht="32.1" customHeight="1">
      <c r="A78" s="75">
        <v>61</v>
      </c>
      <c r="B78" s="136" t="s">
        <v>80</v>
      </c>
      <c r="C78" s="67">
        <v>45870</v>
      </c>
      <c r="D78" s="20" t="s">
        <v>21</v>
      </c>
      <c r="E78" s="20" t="s">
        <v>22</v>
      </c>
      <c r="F78" s="19" t="s">
        <v>26</v>
      </c>
      <c r="G78" s="9">
        <v>14113</v>
      </c>
      <c r="H78" s="25">
        <v>2099</v>
      </c>
      <c r="I78" s="29">
        <v>104</v>
      </c>
      <c r="J78" s="16">
        <v>0</v>
      </c>
      <c r="K78" s="35">
        <f>(Table1[[#This Row],[unsub]]/Table1[[#This Row],[unique-sends]])*100</f>
        <v>0</v>
      </c>
      <c r="L78" s="6">
        <f>Table1[[#This Row],[unique-opens]] / Table1[[#This Row],[unique-sends]] * 100</f>
        <v>14.872812300715651</v>
      </c>
      <c r="M78" s="31">
        <f>Table1[[#This Row],[unique-clicks]] / Table1[[#This Row],[unique-sends]] * 100</f>
        <v>0.73690923262240482</v>
      </c>
      <c r="N78" s="37">
        <f>Table1[[#This Row],[unique-clicks]] / Table1[[#This Row],[unique-opens]] * 100</f>
        <v>4.9547403525488329</v>
      </c>
      <c r="O78" s="37">
        <f>(MIN(Table1[[#This Row],[unique-opens]]/Table1[[#This Row],[unique-sends]],1)*50
 + MIN(Table1[[#This Row],[unique-clicks]]/Table1[[#This Row],[unique-sends]],1)*50)
 * (1 + MIN(Table1[[#This Row],[unique-clicks]]/Table1[[#This Row],[unique-sends]],1))
 - ((Table1[[#This Row],[unsub]]/Table1[[#This Row],[unique-sends]]*100)*2)</f>
        <v>7.8623755062519356</v>
      </c>
      <c r="P78" s="37" t="str">
        <f>IF(Table1[[#This Row],[Engagement Score]]&lt;30,"🔴",IF(Table1[[#This Row],[Engagement Score]]&lt;40,"🟡","🟢"))</f>
        <v>🔴</v>
      </c>
      <c r="Q78" s="11">
        <v>68.5</v>
      </c>
      <c r="R78" s="11">
        <v>17.2</v>
      </c>
      <c r="S78" s="11">
        <v>14.3</v>
      </c>
      <c r="T78" s="131" t="s">
        <v>79</v>
      </c>
    </row>
    <row r="79" spans="1:20" ht="32.1" customHeight="1">
      <c r="A79" s="75">
        <v>61</v>
      </c>
      <c r="B79" s="136" t="s">
        <v>81</v>
      </c>
      <c r="C79" s="67">
        <v>45870</v>
      </c>
      <c r="D79" s="15" t="s">
        <v>21</v>
      </c>
      <c r="E79" s="20" t="s">
        <v>22</v>
      </c>
      <c r="F79" s="19" t="s">
        <v>26</v>
      </c>
      <c r="G79" s="9">
        <v>71201</v>
      </c>
      <c r="H79" s="25">
        <v>10641</v>
      </c>
      <c r="I79" s="29">
        <v>488</v>
      </c>
      <c r="J79" s="16">
        <v>0</v>
      </c>
      <c r="K79" s="35">
        <f>(Table1[[#This Row],[unsub]]/Table1[[#This Row],[unique-sends]])*100</f>
        <v>0</v>
      </c>
      <c r="L79" s="6">
        <f>Table1[[#This Row],[unique-opens]] / Table1[[#This Row],[unique-sends]] * 100</f>
        <v>14.945014817207625</v>
      </c>
      <c r="M79" s="31">
        <f>Table1[[#This Row],[unique-clicks]] / Table1[[#This Row],[unique-sends]] * 100</f>
        <v>0.68538363225235599</v>
      </c>
      <c r="N79" s="37">
        <f>Table1[[#This Row],[unique-clicks]] / Table1[[#This Row],[unique-opens]] * 100</f>
        <v>4.5860351470726437</v>
      </c>
      <c r="O79" s="37">
        <f>(MIN(Table1[[#This Row],[unique-opens]]/Table1[[#This Row],[unique-sends]],1)*50
 + MIN(Table1[[#This Row],[unique-clicks]]/Table1[[#This Row],[unique-sends]],1)*50)
 * (1 + MIN(Table1[[#This Row],[unique-clicks]]/Table1[[#This Row],[unique-sends]],1))
 - ((Table1[[#This Row],[unsub]]/Table1[[#This Row],[unique-sends]]*100)*2)</f>
        <v>7.8687633210442014</v>
      </c>
      <c r="P79" s="37" t="str">
        <f>IF(Table1[[#This Row],[Engagement Score]]&lt;30,"🔴",IF(Table1[[#This Row],[Engagement Score]]&lt;40,"🟡","🟢"))</f>
        <v>🔴</v>
      </c>
      <c r="Q79" s="11">
        <v>68.5</v>
      </c>
      <c r="R79" s="11">
        <v>17.2</v>
      </c>
      <c r="S79" s="11">
        <v>14.3</v>
      </c>
      <c r="T79" s="131" t="s">
        <v>79</v>
      </c>
    </row>
    <row r="80" spans="1:20" ht="32.1" customHeight="1">
      <c r="A80" s="75">
        <v>30</v>
      </c>
      <c r="B80" s="136" t="s">
        <v>82</v>
      </c>
      <c r="C80" s="67">
        <v>45874</v>
      </c>
      <c r="D80" s="20" t="s">
        <v>21</v>
      </c>
      <c r="E80" s="20" t="s">
        <v>25</v>
      </c>
      <c r="F80" s="19" t="s">
        <v>26</v>
      </c>
      <c r="G80" s="9">
        <v>7879</v>
      </c>
      <c r="H80" s="25">
        <v>5042</v>
      </c>
      <c r="I80" s="29">
        <v>361</v>
      </c>
      <c r="J80" s="16">
        <v>24</v>
      </c>
      <c r="K80" s="35">
        <f>(Table1[[#This Row],[unsub]]/Table1[[#This Row],[unique-sends]])*100</f>
        <v>0.3046071836527478</v>
      </c>
      <c r="L80" s="6">
        <f>Table1[[#This Row],[unique-opens]] / Table1[[#This Row],[unique-sends]] * 100</f>
        <v>63.992892499048104</v>
      </c>
      <c r="M80" s="31">
        <f>Table1[[#This Row],[unique-clicks]] / Table1[[#This Row],[unique-sends]] * 100</f>
        <v>4.5817997207767487</v>
      </c>
      <c r="N80" s="37">
        <f>Table1[[#This Row],[unique-clicks]] / Table1[[#This Row],[unique-opens]] * 100</f>
        <v>7.1598571995239988</v>
      </c>
      <c r="O80" s="37">
        <f>(MIN(Table1[[#This Row],[unique-opens]]/Table1[[#This Row],[unique-sends]],1)*50
 + MIN(Table1[[#This Row],[unique-clicks]]/Table1[[#This Row],[unique-sends]],1)*50)
 * (1 + MIN(Table1[[#This Row],[unique-clicks]]/Table1[[#This Row],[unique-sends]],1))
 - ((Table1[[#This Row],[unsub]]/Table1[[#This Row],[unique-sends]]*100)*2)</f>
        <v>35.249109270932657</v>
      </c>
      <c r="P80" s="37" t="str">
        <f>IF(Table1[[#This Row],[Engagement Score]]&lt;30,"🔴",IF(Table1[[#This Row],[Engagement Score]]&lt;40,"🟡","🟢"))</f>
        <v>🟡</v>
      </c>
      <c r="Q80" s="10">
        <v>63.6</v>
      </c>
      <c r="R80" s="11">
        <v>21.4</v>
      </c>
      <c r="S80" s="11">
        <v>15</v>
      </c>
      <c r="T80" s="131" t="s">
        <v>83</v>
      </c>
    </row>
    <row r="81" spans="1:20" ht="32.1" customHeight="1">
      <c r="A81" s="75">
        <v>30</v>
      </c>
      <c r="B81" s="136" t="s">
        <v>82</v>
      </c>
      <c r="C81" s="67">
        <v>45874</v>
      </c>
      <c r="D81" s="15" t="s">
        <v>28</v>
      </c>
      <c r="E81" s="20" t="s">
        <v>25</v>
      </c>
      <c r="F81" s="19" t="s">
        <v>26</v>
      </c>
      <c r="G81" s="13">
        <v>733</v>
      </c>
      <c r="H81" s="24">
        <v>501</v>
      </c>
      <c r="I81" s="28">
        <v>33</v>
      </c>
      <c r="J81" s="16">
        <v>0</v>
      </c>
      <c r="K81" s="35">
        <f>(Table1[[#This Row],[unsub]]/Table1[[#This Row],[unique-sends]])*100</f>
        <v>0</v>
      </c>
      <c r="L81" s="21">
        <f>Table1[[#This Row],[unique-opens]] / Table1[[#This Row],[unique-sends]] * 100</f>
        <v>68.349249658935889</v>
      </c>
      <c r="M81" s="37">
        <f>Table1[[#This Row],[unique-clicks]] / Table1[[#This Row],[unique-sends]] * 100</f>
        <v>4.5020463847203276</v>
      </c>
      <c r="N81" s="37">
        <f>Table1[[#This Row],[unique-clicks]] / Table1[[#This Row],[unique-opens]] * 100</f>
        <v>6.5868263473053901</v>
      </c>
      <c r="O81" s="37">
        <f>(MIN(Table1[[#This Row],[unique-opens]]/Table1[[#This Row],[unique-sends]],1)*50
 + MIN(Table1[[#This Row],[unique-clicks]]/Table1[[#This Row],[unique-sends]],1)*50)
 * (1 + MIN(Table1[[#This Row],[unique-clicks]]/Table1[[#This Row],[unique-sends]],1))
 - ((Table1[[#This Row],[unsub]]/Table1[[#This Row],[unique-sends]]*100)*2)</f>
        <v>38.06554759170578</v>
      </c>
      <c r="P81" s="37" t="str">
        <f>IF(Table1[[#This Row],[Engagement Score]]&lt;30,"🔴",IF(Table1[[#This Row],[Engagement Score]]&lt;40,"🟡","🟢"))</f>
        <v>🟡</v>
      </c>
      <c r="Q81" s="14">
        <v>52.5</v>
      </c>
      <c r="R81" s="16">
        <v>25.9</v>
      </c>
      <c r="S81" s="16">
        <v>21.6</v>
      </c>
      <c r="T81" s="131" t="s">
        <v>84</v>
      </c>
    </row>
    <row r="82" spans="1:20" ht="32.1" customHeight="1">
      <c r="A82" s="75">
        <v>31</v>
      </c>
      <c r="B82" s="136" t="s">
        <v>85</v>
      </c>
      <c r="C82" s="67">
        <v>45874</v>
      </c>
      <c r="D82" s="15" t="s">
        <v>21</v>
      </c>
      <c r="E82" s="20" t="s">
        <v>25</v>
      </c>
      <c r="F82" s="19" t="s">
        <v>26</v>
      </c>
      <c r="G82" s="13">
        <v>8728</v>
      </c>
      <c r="H82" s="24">
        <v>4493</v>
      </c>
      <c r="I82" s="28">
        <v>148</v>
      </c>
      <c r="J82" s="16">
        <v>25</v>
      </c>
      <c r="K82" s="35">
        <f>(Table1[[#This Row],[unsub]]/Table1[[#This Row],[unique-sends]])*100</f>
        <v>0.28643446379468379</v>
      </c>
      <c r="L82" s="21">
        <f>Table1[[#This Row],[unique-opens]] / Table1[[#This Row],[unique-sends]] * 100</f>
        <v>51.478001833180564</v>
      </c>
      <c r="M82" s="37">
        <f>Table1[[#This Row],[unique-clicks]] / Table1[[#This Row],[unique-sends]] * 100</f>
        <v>1.6956920256645278</v>
      </c>
      <c r="N82" s="37">
        <f>Table1[[#This Row],[unique-clicks]] / Table1[[#This Row],[unique-opens]] * 100</f>
        <v>3.2940129089695085</v>
      </c>
      <c r="O82" s="37">
        <f>(MIN(Table1[[#This Row],[unique-opens]]/Table1[[#This Row],[unique-sends]],1)*50
 + MIN(Table1[[#This Row],[unique-clicks]]/Table1[[#This Row],[unique-sends]],1)*50)
 * (1 + MIN(Table1[[#This Row],[unique-clicks]]/Table1[[#This Row],[unique-sends]],1))
 - ((Table1[[#This Row],[unsub]]/Table1[[#This Row],[unique-sends]]*100)*2)</f>
        <v>26.46480904509103</v>
      </c>
      <c r="P82" s="37" t="str">
        <f>IF(Table1[[#This Row],[Engagement Score]]&lt;30,"🔴",IF(Table1[[#This Row],[Engagement Score]]&lt;40,"🟡","🟢"))</f>
        <v>🔴</v>
      </c>
      <c r="Q82" s="14">
        <v>0</v>
      </c>
      <c r="R82" s="16">
        <v>0</v>
      </c>
      <c r="S82" s="16">
        <v>0</v>
      </c>
      <c r="T82" s="131" t="s">
        <v>86</v>
      </c>
    </row>
    <row r="83" spans="1:20" ht="32.1" customHeight="1">
      <c r="A83" s="75">
        <v>31</v>
      </c>
      <c r="B83" s="136" t="s">
        <v>85</v>
      </c>
      <c r="C83" s="67">
        <v>45874</v>
      </c>
      <c r="D83" s="15" t="s">
        <v>28</v>
      </c>
      <c r="E83" s="20" t="s">
        <v>25</v>
      </c>
      <c r="F83" s="19" t="s">
        <v>26</v>
      </c>
      <c r="G83" s="13">
        <v>392</v>
      </c>
      <c r="H83" s="24">
        <v>215</v>
      </c>
      <c r="I83" s="28">
        <v>11</v>
      </c>
      <c r="J83" s="16">
        <v>0</v>
      </c>
      <c r="K83" s="35">
        <f>(Table1[[#This Row],[unsub]]/Table1[[#This Row],[unique-sends]])*100</f>
        <v>0</v>
      </c>
      <c r="L83" s="21">
        <f>Table1[[#This Row],[unique-opens]] / Table1[[#This Row],[unique-sends]] * 100</f>
        <v>54.846938775510203</v>
      </c>
      <c r="M83" s="37">
        <f>Table1[[#This Row],[unique-clicks]] / Table1[[#This Row],[unique-sends]] * 100</f>
        <v>2.806122448979592</v>
      </c>
      <c r="N83" s="37">
        <f>Table1[[#This Row],[unique-clicks]] / Table1[[#This Row],[unique-opens]] * 100</f>
        <v>5.1162790697674421</v>
      </c>
      <c r="O83" s="37">
        <f>(MIN(Table1[[#This Row],[unique-opens]]/Table1[[#This Row],[unique-sends]],1)*50
 + MIN(Table1[[#This Row],[unique-clicks]]/Table1[[#This Row],[unique-sends]],1)*50)
 * (1 + MIN(Table1[[#This Row],[unique-clicks]]/Table1[[#This Row],[unique-sends]],1))
 - ((Table1[[#This Row],[unsub]]/Table1[[#This Row],[unique-sends]]*100)*2)</f>
        <v>29.63543835901708</v>
      </c>
      <c r="P83" s="37" t="str">
        <f>IF(Table1[[#This Row],[Engagement Score]]&lt;30,"🔴",IF(Table1[[#This Row],[Engagement Score]]&lt;40,"🟡","🟢"))</f>
        <v>🔴</v>
      </c>
      <c r="Q83" s="10">
        <v>50</v>
      </c>
      <c r="R83" s="11">
        <v>25</v>
      </c>
      <c r="S83" s="11">
        <v>25</v>
      </c>
      <c r="T83" s="131" t="s">
        <v>87</v>
      </c>
    </row>
    <row r="84" spans="1:20" ht="32.1" customHeight="1">
      <c r="A84" s="75">
        <v>30</v>
      </c>
      <c r="B84" s="136" t="s">
        <v>88</v>
      </c>
      <c r="C84" s="67">
        <v>45881</v>
      </c>
      <c r="D84" s="15" t="s">
        <v>21</v>
      </c>
      <c r="E84" s="20" t="s">
        <v>25</v>
      </c>
      <c r="F84" s="19" t="s">
        <v>26</v>
      </c>
      <c r="G84" s="9">
        <v>1737</v>
      </c>
      <c r="H84" s="25">
        <v>1214</v>
      </c>
      <c r="I84" s="29">
        <v>42</v>
      </c>
      <c r="J84" s="16">
        <v>3</v>
      </c>
      <c r="K84" s="36">
        <f>(Table1[[#This Row],[unsub]]/Table1[[#This Row],[unique-sends]])*100</f>
        <v>0.17271157167530224</v>
      </c>
      <c r="L84" s="6">
        <f>Table1[[#This Row],[unique-opens]] / Table1[[#This Row],[unique-sends]] * 100</f>
        <v>69.890616004605647</v>
      </c>
      <c r="M84" s="31">
        <f>Table1[[#This Row],[unique-clicks]] / Table1[[#This Row],[unique-sends]] * 100</f>
        <v>2.4179620034542317</v>
      </c>
      <c r="N84" s="37">
        <f>Table1[[#This Row],[unique-clicks]] / Table1[[#This Row],[unique-opens]] * 100</f>
        <v>3.4596375617792421</v>
      </c>
      <c r="O84" s="37">
        <f>(MIN(Table1[[#This Row],[unique-opens]]/Table1[[#This Row],[unique-sends]],1)*50
 + MIN(Table1[[#This Row],[unique-clicks]]/Table1[[#This Row],[unique-sends]],1)*50)
 * (1 + MIN(Table1[[#This Row],[unique-clicks]]/Table1[[#This Row],[unique-sends]],1))
 - ((Table1[[#This Row],[unsub]]/Table1[[#This Row],[unique-sends]]*100)*2)</f>
        <v>36.683062831415818</v>
      </c>
      <c r="P84" s="37" t="str">
        <f>IF(Table1[[#This Row],[Engagement Score]]&lt;30,"🔴",IF(Table1[[#This Row],[Engagement Score]]&lt;40,"🟡","🟢"))</f>
        <v>🟡</v>
      </c>
      <c r="Q84" s="10">
        <v>74.599999999999994</v>
      </c>
      <c r="R84" s="11">
        <v>15.6</v>
      </c>
      <c r="S84" s="11">
        <v>9.8000000000000007</v>
      </c>
      <c r="T84" s="129" t="s">
        <v>89</v>
      </c>
    </row>
    <row r="85" spans="1:20" ht="32.1" customHeight="1">
      <c r="A85" s="75">
        <v>31</v>
      </c>
      <c r="B85" s="136" t="s">
        <v>90</v>
      </c>
      <c r="C85" s="67">
        <v>45881</v>
      </c>
      <c r="D85" s="15" t="s">
        <v>21</v>
      </c>
      <c r="E85" s="20" t="s">
        <v>25</v>
      </c>
      <c r="F85" s="19" t="s">
        <v>26</v>
      </c>
      <c r="G85" s="9">
        <v>9326</v>
      </c>
      <c r="H85" s="25">
        <v>6331</v>
      </c>
      <c r="I85" s="29">
        <v>41</v>
      </c>
      <c r="J85" s="16">
        <v>37</v>
      </c>
      <c r="K85" s="36">
        <f>(Table1[[#This Row],[unsub]]/Table1[[#This Row],[unique-sends]])*100</f>
        <v>0.39674029594681537</v>
      </c>
      <c r="L85" s="6">
        <f>Table1[[#This Row],[unique-opens]] / Table1[[#This Row],[unique-sends]] * 100</f>
        <v>67.885481449710483</v>
      </c>
      <c r="M85" s="31">
        <f>Table1[[#This Row],[unique-clicks]] / Table1[[#This Row],[unique-sends]] * 100</f>
        <v>0.43963113875187643</v>
      </c>
      <c r="N85" s="37">
        <f>Table1[[#This Row],[unique-clicks]] / Table1[[#This Row],[unique-opens]] * 100</f>
        <v>0.64760701311009317</v>
      </c>
      <c r="O85" s="37">
        <f>(MIN(Table1[[#This Row],[unique-opens]]/Table1[[#This Row],[unique-sends]],1)*50
 + MIN(Table1[[#This Row],[unique-clicks]]/Table1[[#This Row],[unique-sends]],1)*50)
 * (1 + MIN(Table1[[#This Row],[unique-clicks]]/Table1[[#This Row],[unique-sends]],1))
 - ((Table1[[#This Row],[unsub]]/Table1[[#This Row],[unique-sends]]*100)*2)</f>
        <v>33.519264937600624</v>
      </c>
      <c r="P85" s="37" t="str">
        <f>IF(Table1[[#This Row],[Engagement Score]]&lt;30,"🔴",IF(Table1[[#This Row],[Engagement Score]]&lt;40,"🟡","🟢"))</f>
        <v>🟡</v>
      </c>
      <c r="Q85" s="10">
        <v>37.1</v>
      </c>
      <c r="R85" s="11">
        <v>38.6</v>
      </c>
      <c r="S85" s="11">
        <v>24.3</v>
      </c>
      <c r="T85" s="129" t="s">
        <v>91</v>
      </c>
    </row>
    <row r="86" spans="1:20" ht="32.1" customHeight="1">
      <c r="A86" s="75">
        <v>31</v>
      </c>
      <c r="B86" s="136" t="s">
        <v>90</v>
      </c>
      <c r="C86" s="67">
        <v>45881</v>
      </c>
      <c r="D86" s="15" t="s">
        <v>28</v>
      </c>
      <c r="E86" s="20" t="s">
        <v>25</v>
      </c>
      <c r="F86" s="19" t="s">
        <v>26</v>
      </c>
      <c r="G86" s="9">
        <v>257</v>
      </c>
      <c r="H86" s="25">
        <v>175</v>
      </c>
      <c r="I86" s="29">
        <v>5</v>
      </c>
      <c r="J86" s="16">
        <v>0</v>
      </c>
      <c r="K86" s="36">
        <f>(Table1[[#This Row],[unsub]]/Table1[[#This Row],[unique-sends]])*100</f>
        <v>0</v>
      </c>
      <c r="L86" s="6">
        <f>Table1[[#This Row],[unique-opens]] / Table1[[#This Row],[unique-sends]] * 100</f>
        <v>68.093385214007782</v>
      </c>
      <c r="M86" s="31">
        <f>Table1[[#This Row],[unique-clicks]] / Table1[[#This Row],[unique-sends]] * 100</f>
        <v>1.9455252918287937</v>
      </c>
      <c r="N86" s="37">
        <f>Table1[[#This Row],[unique-clicks]] / Table1[[#This Row],[unique-opens]] * 100</f>
        <v>2.8571428571428572</v>
      </c>
      <c r="O86" s="37">
        <f>(MIN(Table1[[#This Row],[unique-opens]]/Table1[[#This Row],[unique-sends]],1)*50
 + MIN(Table1[[#This Row],[unique-clicks]]/Table1[[#This Row],[unique-sends]],1)*50)
 * (1 + MIN(Table1[[#This Row],[unique-clicks]]/Table1[[#This Row],[unique-sends]],1))
 - ((Table1[[#This Row],[unsub]]/Table1[[#This Row],[unique-sends]]*100)*2)</f>
        <v>35.700767611924476</v>
      </c>
      <c r="P86" s="37" t="str">
        <f>IF(Table1[[#This Row],[Engagement Score]]&lt;30,"🔴",IF(Table1[[#This Row],[Engagement Score]]&lt;40,"🟡","🟢"))</f>
        <v>🟡</v>
      </c>
      <c r="Q86" s="10">
        <v>0</v>
      </c>
      <c r="R86" s="11">
        <v>0</v>
      </c>
      <c r="S86" s="11">
        <v>0</v>
      </c>
      <c r="T86" s="129" t="s">
        <v>92</v>
      </c>
    </row>
    <row r="87" spans="1:20" ht="32.1" customHeight="1">
      <c r="A87" s="75">
        <v>30</v>
      </c>
      <c r="B87" s="138" t="s">
        <v>93</v>
      </c>
      <c r="C87" s="67">
        <v>45888</v>
      </c>
      <c r="D87" s="20" t="s">
        <v>21</v>
      </c>
      <c r="E87" s="20" t="s">
        <v>25</v>
      </c>
      <c r="F87" s="19" t="s">
        <v>26</v>
      </c>
      <c r="G87" s="9">
        <v>12681</v>
      </c>
      <c r="H87" s="25">
        <v>8122</v>
      </c>
      <c r="I87" s="29">
        <v>510</v>
      </c>
      <c r="J87" s="11">
        <v>15</v>
      </c>
      <c r="K87" s="36">
        <f>(Table1[[#This Row],[unsub]]/Table1[[#This Row],[unique-sends]])*100</f>
        <v>0.11828720132481667</v>
      </c>
      <c r="L87" s="6">
        <f>Table1[[#This Row],[unique-opens]] / Table1[[#This Row],[unique-sends]] * 100</f>
        <v>64.048576610677387</v>
      </c>
      <c r="M87" s="31">
        <f>Table1[[#This Row],[unique-clicks]] / Table1[[#This Row],[unique-sends]] * 100</f>
        <v>4.0217648450437657</v>
      </c>
      <c r="N87" s="37">
        <f>Table1[[#This Row],[unique-clicks]] / Table1[[#This Row],[unique-opens]] * 100</f>
        <v>6.2792415661167196</v>
      </c>
      <c r="O87" s="37">
        <f>(MIN(Table1[[#This Row],[unique-opens]]/Table1[[#This Row],[unique-sends]],1)*50
 + MIN(Table1[[#This Row],[unique-clicks]]/Table1[[#This Row],[unique-sends]],1)*50)
 * (1 + MIN(Table1[[#This Row],[unique-clicks]]/Table1[[#This Row],[unique-sends]],1))
 - ((Table1[[#This Row],[unsub]]/Table1[[#This Row],[unique-sends]]*100)*2)</f>
        <v>35.167410856494669</v>
      </c>
      <c r="P87" s="37" t="str">
        <f>IF(Table1[[#This Row],[Engagement Score]]&lt;30,"🔴",IF(Table1[[#This Row],[Engagement Score]]&lt;40,"🟡","🟢"))</f>
        <v>🟡</v>
      </c>
      <c r="Q87" s="10">
        <v>64.400000000000006</v>
      </c>
      <c r="R87" s="11">
        <v>19.399999999999999</v>
      </c>
      <c r="S87" s="11">
        <v>11.2</v>
      </c>
      <c r="T87" s="129" t="s">
        <v>94</v>
      </c>
    </row>
    <row r="88" spans="1:20" ht="32.1" customHeight="1">
      <c r="A88" s="75">
        <v>30</v>
      </c>
      <c r="B88" s="138" t="s">
        <v>93</v>
      </c>
      <c r="C88" s="67">
        <v>45888</v>
      </c>
      <c r="D88" s="20" t="s">
        <v>28</v>
      </c>
      <c r="E88" s="20" t="s">
        <v>25</v>
      </c>
      <c r="F88" s="19" t="s">
        <v>26</v>
      </c>
      <c r="G88" s="9">
        <v>1852</v>
      </c>
      <c r="H88" s="25">
        <v>1295</v>
      </c>
      <c r="I88" s="29">
        <v>98</v>
      </c>
      <c r="J88" s="11">
        <v>1</v>
      </c>
      <c r="K88" s="36">
        <f>(Table1[[#This Row],[unsub]]/Table1[[#This Row],[unique-sends]])*100</f>
        <v>5.399568034557236E-2</v>
      </c>
      <c r="L88" s="6">
        <f>Table1[[#This Row],[unique-opens]] / Table1[[#This Row],[unique-sends]] * 100</f>
        <v>69.9244060475162</v>
      </c>
      <c r="M88" s="31">
        <f>Table1[[#This Row],[unique-clicks]] / Table1[[#This Row],[unique-sends]] * 100</f>
        <v>5.291576673866091</v>
      </c>
      <c r="N88" s="37">
        <f>Table1[[#This Row],[unique-clicks]] / Table1[[#This Row],[unique-opens]] * 100</f>
        <v>7.5675675675675684</v>
      </c>
      <c r="O88" s="37">
        <f>(MIN(Table1[[#This Row],[unique-opens]]/Table1[[#This Row],[unique-sends]],1)*50
 + MIN(Table1[[#This Row],[unique-clicks]]/Table1[[#This Row],[unique-sends]],1)*50)
 * (1 + MIN(Table1[[#This Row],[unique-clicks]]/Table1[[#This Row],[unique-sends]],1))
 - ((Table1[[#This Row],[unsub]]/Table1[[#This Row],[unique-sends]]*100)*2)</f>
        <v>39.490055698351902</v>
      </c>
      <c r="P88" s="37" t="str">
        <f>IF(Table1[[#This Row],[Engagement Score]]&lt;30,"🔴",IF(Table1[[#This Row],[Engagement Score]]&lt;40,"🟡","🟢"))</f>
        <v>🟡</v>
      </c>
      <c r="Q88" s="10">
        <v>68.2</v>
      </c>
      <c r="R88" s="11">
        <v>17.600000000000001</v>
      </c>
      <c r="S88" s="11">
        <v>14.2</v>
      </c>
      <c r="T88" s="129" t="s">
        <v>95</v>
      </c>
    </row>
    <row r="89" spans="1:20" ht="32.1" customHeight="1">
      <c r="A89" s="75">
        <v>78</v>
      </c>
      <c r="B89" s="136" t="s">
        <v>96</v>
      </c>
      <c r="C89" s="67">
        <v>45891</v>
      </c>
      <c r="D89" s="15" t="s">
        <v>21</v>
      </c>
      <c r="E89" s="20" t="s">
        <v>97</v>
      </c>
      <c r="F89" s="19" t="s">
        <v>26</v>
      </c>
      <c r="G89" s="13">
        <v>19741</v>
      </c>
      <c r="H89" s="24">
        <v>11173</v>
      </c>
      <c r="I89" s="28">
        <v>430</v>
      </c>
      <c r="J89" s="16">
        <v>6</v>
      </c>
      <c r="K89" s="35">
        <f>(Table1[[#This Row],[unsub]]/Table1[[#This Row],[unique-sends]])*100</f>
        <v>3.0393597082214681E-2</v>
      </c>
      <c r="L89" s="21">
        <f>Table1[[#This Row],[unique-opens]] / Table1[[#This Row],[unique-sends]] * 100</f>
        <v>56.597943366597434</v>
      </c>
      <c r="M89" s="37">
        <f>Table1[[#This Row],[unique-clicks]] / Table1[[#This Row],[unique-sends]] * 100</f>
        <v>2.1782077908920519</v>
      </c>
      <c r="N89" s="37">
        <f>Table1[[#This Row],[unique-clicks]] / Table1[[#This Row],[unique-opens]] * 100</f>
        <v>3.8485635012977712</v>
      </c>
      <c r="O89" s="37">
        <f>(MIN(Table1[[#This Row],[unique-opens]]/Table1[[#This Row],[unique-sends]],1)*50
 + MIN(Table1[[#This Row],[unique-clicks]]/Table1[[#This Row],[unique-sends]],1)*50)
 * (1 + MIN(Table1[[#This Row],[unique-clicks]]/Table1[[#This Row],[unique-sends]],1))
 - ((Table1[[#This Row],[unsub]]/Table1[[#This Row],[unique-sends]]*100)*2)</f>
        <v>29.967421736429777</v>
      </c>
      <c r="P89" s="37" t="str">
        <f>IF(Table1[[#This Row],[Engagement Score]]&lt;30,"🔴",IF(Table1[[#This Row],[Engagement Score]]&lt;40,"🟡","🟢"))</f>
        <v>🔴</v>
      </c>
      <c r="Q89" s="14">
        <v>67.099999999999994</v>
      </c>
      <c r="R89" s="16">
        <v>16.8</v>
      </c>
      <c r="S89" s="16">
        <v>16.2</v>
      </c>
      <c r="T89" s="131" t="s">
        <v>98</v>
      </c>
    </row>
    <row r="90" spans="1:20" ht="32.1" customHeight="1">
      <c r="A90" s="75">
        <v>30</v>
      </c>
      <c r="B90" s="136" t="s">
        <v>99</v>
      </c>
      <c r="C90" s="67">
        <v>45895</v>
      </c>
      <c r="D90" s="15" t="s">
        <v>21</v>
      </c>
      <c r="E90" s="20" t="s">
        <v>25</v>
      </c>
      <c r="F90" s="19" t="s">
        <v>26</v>
      </c>
      <c r="G90" s="13">
        <v>7728</v>
      </c>
      <c r="H90" s="24">
        <v>4730</v>
      </c>
      <c r="I90" s="28">
        <v>305</v>
      </c>
      <c r="J90" s="16">
        <v>11</v>
      </c>
      <c r="K90" s="35">
        <f>(Table1[[#This Row],[unsub]]/Table1[[#This Row],[unique-sends]])*100</f>
        <v>0.14233954451345754</v>
      </c>
      <c r="L90" s="21">
        <f>Table1[[#This Row],[unique-opens]] / Table1[[#This Row],[unique-sends]] * 100</f>
        <v>61.206004140786753</v>
      </c>
      <c r="M90" s="37">
        <f>Table1[[#This Row],[unique-clicks]] / Table1[[#This Row],[unique-sends]] * 100</f>
        <v>3.9466873706004142</v>
      </c>
      <c r="N90" s="37">
        <f>Table1[[#This Row],[unique-clicks]] / Table1[[#This Row],[unique-opens]] * 100</f>
        <v>6.4482029598308666</v>
      </c>
      <c r="O90" s="37">
        <f>(MIN(Table1[[#This Row],[unique-opens]]/Table1[[#This Row],[unique-sends]],1)*50
 + MIN(Table1[[#This Row],[unique-clicks]]/Table1[[#This Row],[unique-sends]],1)*50)
 * (1 + MIN(Table1[[#This Row],[unique-clicks]]/Table1[[#This Row],[unique-sends]],1))
 - ((Table1[[#This Row],[unsub]]/Table1[[#This Row],[unique-sends]]*100)*2)</f>
        <v>33.577353190409752</v>
      </c>
      <c r="P90" s="37" t="str">
        <f>IF(Table1[[#This Row],[Engagement Score]]&lt;30,"🔴",IF(Table1[[#This Row],[Engagement Score]]&lt;40,"🟡","🟢"))</f>
        <v>🟡</v>
      </c>
      <c r="Q90" s="14">
        <v>63.6</v>
      </c>
      <c r="R90" s="16">
        <v>21.4</v>
      </c>
      <c r="S90" s="16">
        <v>15</v>
      </c>
      <c r="T90" s="131" t="s">
        <v>83</v>
      </c>
    </row>
    <row r="91" spans="1:20" ht="32.1" customHeight="1">
      <c r="A91" s="75">
        <v>30</v>
      </c>
      <c r="B91" s="136" t="s">
        <v>99</v>
      </c>
      <c r="C91" s="67">
        <v>45895</v>
      </c>
      <c r="D91" s="38" t="s">
        <v>28</v>
      </c>
      <c r="E91" s="41" t="s">
        <v>25</v>
      </c>
      <c r="F91" s="19" t="s">
        <v>26</v>
      </c>
      <c r="G91" s="9">
        <v>720</v>
      </c>
      <c r="H91" s="58">
        <v>469</v>
      </c>
      <c r="I91" s="58">
        <v>36</v>
      </c>
      <c r="J91" s="11">
        <v>0</v>
      </c>
      <c r="K91" s="35">
        <f>(Table1[[#This Row],[unsub]]/Table1[[#This Row],[unique-sends]])*100</f>
        <v>0</v>
      </c>
      <c r="L91" s="21">
        <f>Table1[[#This Row],[unique-opens]] / Table1[[#This Row],[unique-sends]] * 100</f>
        <v>65.138888888888886</v>
      </c>
      <c r="M91" s="37">
        <f>Table1[[#This Row],[unique-clicks]] / Table1[[#This Row],[unique-sends]] * 100</f>
        <v>5</v>
      </c>
      <c r="N91" s="37">
        <f>Table1[[#This Row],[unique-clicks]] / Table1[[#This Row],[unique-opens]] * 100</f>
        <v>7.6759061833688706</v>
      </c>
      <c r="O91" s="37">
        <f>(MIN(Table1[[#This Row],[unique-opens]]/Table1[[#This Row],[unique-sends]],1)*50
 + MIN(Table1[[#This Row],[unique-clicks]]/Table1[[#This Row],[unique-sends]],1)*50)
 * (1 + MIN(Table1[[#This Row],[unique-clicks]]/Table1[[#This Row],[unique-sends]],1))
 - ((Table1[[#This Row],[unsub]]/Table1[[#This Row],[unique-sends]]*100)*2)</f>
        <v>36.822916666666664</v>
      </c>
      <c r="P91" s="37" t="str">
        <f>IF(Table1[[#This Row],[Engagement Score]]&lt;30,"🔴",IF(Table1[[#This Row],[Engagement Score]]&lt;40,"🟡","🟢"))</f>
        <v>🟡</v>
      </c>
      <c r="Q91" s="14">
        <v>52.5</v>
      </c>
      <c r="R91" s="16">
        <v>25.9</v>
      </c>
      <c r="S91" s="16">
        <v>1.6</v>
      </c>
      <c r="T91" s="131" t="s">
        <v>84</v>
      </c>
    </row>
    <row r="92" spans="1:20" ht="32.1" customHeight="1">
      <c r="A92" s="75">
        <v>31</v>
      </c>
      <c r="B92" s="136" t="s">
        <v>100</v>
      </c>
      <c r="C92" s="67">
        <v>45895</v>
      </c>
      <c r="D92" s="15" t="s">
        <v>21</v>
      </c>
      <c r="E92" s="20" t="s">
        <v>25</v>
      </c>
      <c r="F92" s="19" t="s">
        <v>26</v>
      </c>
      <c r="G92" s="9">
        <v>5041</v>
      </c>
      <c r="H92" s="58">
        <v>3277</v>
      </c>
      <c r="I92" s="58">
        <v>66</v>
      </c>
      <c r="J92" s="11">
        <v>10</v>
      </c>
      <c r="K92" s="35">
        <f>(Table1[[#This Row],[unsub]]/Table1[[#This Row],[unique-sends]])*100</f>
        <v>0.19837333862328904</v>
      </c>
      <c r="L92" s="6">
        <f>Table1[[#This Row],[unique-opens]] / Table1[[#This Row],[unique-sends]] * 100</f>
        <v>65.006943066851818</v>
      </c>
      <c r="M92" s="31">
        <f>Table1[[#This Row],[unique-clicks]] / Table1[[#This Row],[unique-sends]] * 100</f>
        <v>1.3092640349137077</v>
      </c>
      <c r="N92" s="37">
        <f>Table1[[#This Row],[unique-clicks]] / Table1[[#This Row],[unique-opens]] * 100</f>
        <v>2.0140372291730242</v>
      </c>
      <c r="O92" s="37">
        <f>(MIN(Table1[[#This Row],[unique-opens]]/Table1[[#This Row],[unique-sends]],1)*50
 + MIN(Table1[[#This Row],[unique-clicks]]/Table1[[#This Row],[unique-sends]],1)*50)
 * (1 + MIN(Table1[[#This Row],[unique-clicks]]/Table1[[#This Row],[unique-sends]],1))
 - ((Table1[[#This Row],[unsub]]/Table1[[#This Row],[unique-sends]]*100)*2)</f>
        <v>33.195483998087347</v>
      </c>
      <c r="P92" s="37" t="str">
        <f>IF(Table1[[#This Row],[Engagement Score]]&lt;30,"🔴",IF(Table1[[#This Row],[Engagement Score]]&lt;40,"🟡","🟢"))</f>
        <v>🟡</v>
      </c>
      <c r="Q92" s="14">
        <v>65.7</v>
      </c>
      <c r="R92" s="16">
        <v>21.4</v>
      </c>
      <c r="S92" s="16">
        <v>129</v>
      </c>
      <c r="T92" s="131" t="s">
        <v>101</v>
      </c>
    </row>
    <row r="93" spans="1:20" ht="32.1" customHeight="1">
      <c r="A93" s="75">
        <v>5</v>
      </c>
      <c r="B93" s="138" t="s">
        <v>102</v>
      </c>
      <c r="C93" s="68">
        <v>45900</v>
      </c>
      <c r="D93" s="41" t="s">
        <v>28</v>
      </c>
      <c r="E93" s="20" t="s">
        <v>22</v>
      </c>
      <c r="F93" s="19" t="s">
        <v>26</v>
      </c>
      <c r="G93" s="9">
        <v>6485</v>
      </c>
      <c r="H93" s="25">
        <v>1360</v>
      </c>
      <c r="I93" s="29">
        <v>109</v>
      </c>
      <c r="J93" s="11">
        <v>0</v>
      </c>
      <c r="K93" s="36">
        <f>(Table1[[#This Row],[unsub]]/Table1[[#This Row],[unique-sends]])*100</f>
        <v>0</v>
      </c>
      <c r="L93" s="6">
        <f>Table1[[#This Row],[unique-opens]] / Table1[[#This Row],[unique-sends]] * 100</f>
        <v>20.971472629144177</v>
      </c>
      <c r="M93" s="31">
        <f>Table1[[#This Row],[unique-clicks]] / Table1[[#This Row],[unique-sends]] * 100</f>
        <v>1.6808018504240556</v>
      </c>
      <c r="N93" s="37">
        <f>Table1[[#This Row],[unique-clicks]] / Table1[[#This Row],[unique-opens]] * 100</f>
        <v>8.014705882352942</v>
      </c>
      <c r="O93" s="37">
        <f>(MIN(Table1[[#This Row],[unique-opens]]/Table1[[#This Row],[unique-sends]],1)*50
 + MIN(Table1[[#This Row],[unique-clicks]]/Table1[[#This Row],[unique-sends]],1)*50)
 * (1 + MIN(Table1[[#This Row],[unique-clicks]]/Table1[[#This Row],[unique-sends]],1))
 - ((Table1[[#This Row],[unsub]]/Table1[[#This Row],[unique-sends]]*100)*2)</f>
        <v>11.516507164091976</v>
      </c>
      <c r="P93" s="37" t="str">
        <f>IF(Table1[[#This Row],[Engagement Score]]&lt;30,"🔴",IF(Table1[[#This Row],[Engagement Score]]&lt;40,"🟡","🟢"))</f>
        <v>🔴</v>
      </c>
      <c r="Q93" s="14">
        <v>66.3</v>
      </c>
      <c r="R93" s="16">
        <v>16.399999999999999</v>
      </c>
      <c r="S93" s="16">
        <v>17.2</v>
      </c>
      <c r="T93" s="88"/>
    </row>
    <row r="94" spans="1:20" ht="32.1" customHeight="1">
      <c r="A94" s="75">
        <v>62</v>
      </c>
      <c r="B94" s="136" t="s">
        <v>103</v>
      </c>
      <c r="C94" s="67">
        <v>45900</v>
      </c>
      <c r="D94" s="15" t="s">
        <v>21</v>
      </c>
      <c r="E94" s="15" t="s">
        <v>22</v>
      </c>
      <c r="F94" s="19" t="s">
        <v>26</v>
      </c>
      <c r="G94" s="13">
        <v>4727</v>
      </c>
      <c r="H94" s="24">
        <v>1455</v>
      </c>
      <c r="I94" s="28">
        <v>110</v>
      </c>
      <c r="J94" s="16">
        <v>0</v>
      </c>
      <c r="K94" s="35">
        <f>(Table1[[#This Row],[unsub]]/Table1[[#This Row],[unique-sends]])*100</f>
        <v>0</v>
      </c>
      <c r="L94" s="44">
        <f>Table1[[#This Row],[unique-opens]] / Table1[[#This Row],[unique-sends]] * 100</f>
        <v>30.78062195895917</v>
      </c>
      <c r="M94" s="45">
        <f>Table1[[#This Row],[unique-clicks]] / Table1[[#This Row],[unique-sends]] * 100</f>
        <v>2.3270573302305904</v>
      </c>
      <c r="N94" s="37">
        <f>Table1[[#This Row],[unique-clicks]] / Table1[[#This Row],[unique-opens]] * 100</f>
        <v>7.5601374570446733</v>
      </c>
      <c r="O94" s="37">
        <f>(MIN(Table1[[#This Row],[unique-opens]]/Table1[[#This Row],[unique-sends]],1)*50
 + MIN(Table1[[#This Row],[unique-clicks]]/Table1[[#This Row],[unique-sends]],1)*50)
 * (1 + MIN(Table1[[#This Row],[unique-clicks]]/Table1[[#This Row],[unique-sends]],1))
 - ((Table1[[#This Row],[unsub]]/Table1[[#This Row],[unique-sends]]*100)*2)</f>
        <v>16.939056983479045</v>
      </c>
      <c r="P94" s="37" t="str">
        <f>IF(Table1[[#This Row],[Engagement Score]]&lt;30,"🔴",IF(Table1[[#This Row],[Engagement Score]]&lt;40,"🟡","🟢"))</f>
        <v>🔴</v>
      </c>
      <c r="Q94" s="14">
        <v>73.3</v>
      </c>
      <c r="R94" s="16">
        <v>15.1</v>
      </c>
      <c r="S94" s="16">
        <v>1.6</v>
      </c>
      <c r="T94" s="131" t="s">
        <v>62</v>
      </c>
    </row>
    <row r="95" spans="1:20" ht="32.1" customHeight="1">
      <c r="A95" s="75">
        <v>63</v>
      </c>
      <c r="B95" s="136" t="s">
        <v>104</v>
      </c>
      <c r="C95" s="67">
        <v>45900</v>
      </c>
      <c r="D95" s="15" t="s">
        <v>21</v>
      </c>
      <c r="E95" s="20" t="s">
        <v>22</v>
      </c>
      <c r="F95" s="19" t="s">
        <v>26</v>
      </c>
      <c r="G95" s="9">
        <v>427</v>
      </c>
      <c r="H95" s="25">
        <v>408</v>
      </c>
      <c r="I95" s="29">
        <v>23</v>
      </c>
      <c r="J95" s="11">
        <v>0</v>
      </c>
      <c r="K95" s="36">
        <f>(Table1[[#This Row],[unsub]]/Table1[[#This Row],[unique-sends]])*100</f>
        <v>0</v>
      </c>
      <c r="L95" s="6">
        <f>Table1[[#This Row],[unique-opens]] / Table1[[#This Row],[unique-sends]] * 100</f>
        <v>95.550351288056206</v>
      </c>
      <c r="M95" s="31">
        <f>Table1[[#This Row],[unique-clicks]] / Table1[[#This Row],[unique-sends]] * 100</f>
        <v>5.3864168618266977</v>
      </c>
      <c r="N95" s="37">
        <f>Table1[[#This Row],[unique-clicks]] / Table1[[#This Row],[unique-opens]] * 100</f>
        <v>5.6372549019607847</v>
      </c>
      <c r="O95" s="37">
        <f>(MIN(Table1[[#This Row],[unique-opens]]/Table1[[#This Row],[unique-sends]],1)*50
 + MIN(Table1[[#This Row],[unique-clicks]]/Table1[[#This Row],[unique-sends]],1)*50)
 * (1 + MIN(Table1[[#This Row],[unique-clicks]]/Table1[[#This Row],[unique-sends]],1))
 - ((Table1[[#This Row],[unsub]]/Table1[[#This Row],[unique-sends]]*100)*2)</f>
        <v>53.18682162464556</v>
      </c>
      <c r="P95" s="37" t="str">
        <f>IF(Table1[[#This Row],[Engagement Score]]&lt;30,"🔴",IF(Table1[[#This Row],[Engagement Score]]&lt;40,"🟡","🟢"))</f>
        <v>🟢</v>
      </c>
      <c r="Q95" s="14">
        <v>76.3</v>
      </c>
      <c r="R95" s="16">
        <v>14.8</v>
      </c>
      <c r="S95" s="16">
        <v>9</v>
      </c>
      <c r="T95" s="88"/>
    </row>
    <row r="96" spans="1:20" ht="32.1" customHeight="1">
      <c r="A96" s="78">
        <v>1</v>
      </c>
      <c r="B96" s="139" t="s">
        <v>105</v>
      </c>
      <c r="C96" s="67">
        <v>45901</v>
      </c>
      <c r="D96" s="15" t="s">
        <v>21</v>
      </c>
      <c r="E96" s="20" t="s">
        <v>22</v>
      </c>
      <c r="F96" s="19" t="s">
        <v>26</v>
      </c>
      <c r="G96" s="9">
        <v>6286</v>
      </c>
      <c r="H96" s="25">
        <v>3750</v>
      </c>
      <c r="I96" s="29">
        <v>661</v>
      </c>
      <c r="J96" s="11">
        <v>6</v>
      </c>
      <c r="K96" s="36">
        <f>(Table1[[#This Row],[unsub]]/Table1[[#This Row],[unique-sends]])*100</f>
        <v>9.5450206808781426E-2</v>
      </c>
      <c r="L96" s="6">
        <f>Table1[[#This Row],[unique-opens]] / Table1[[#This Row],[unique-sends]] * 100</f>
        <v>59.656379255488389</v>
      </c>
      <c r="M96" s="31">
        <f>Table1[[#This Row],[unique-clicks]] / Table1[[#This Row],[unique-sends]] * 100</f>
        <v>10.51543111676742</v>
      </c>
      <c r="N96" s="37">
        <f>Table1[[#This Row],[unique-clicks]] / Table1[[#This Row],[unique-opens]] * 100</f>
        <v>17.626666666666665</v>
      </c>
      <c r="O96" s="37">
        <f>(MIN(Table1[[#This Row],[unique-opens]]/Table1[[#This Row],[unique-sends]],1)*50
 + MIN(Table1[[#This Row],[unique-clicks]]/Table1[[#This Row],[unique-sends]],1)*50)
 * (1 + MIN(Table1[[#This Row],[unique-clicks]]/Table1[[#This Row],[unique-sends]],1))
 - ((Table1[[#This Row],[unsub]]/Table1[[#This Row],[unique-sends]]*100)*2)</f>
        <v>38.584438964051948</v>
      </c>
      <c r="P96" s="37" t="str">
        <f>IF(Table1[[#This Row],[Engagement Score]]&lt;30,"🔴",IF(Table1[[#This Row],[Engagement Score]]&lt;40,"🟡","🟢"))</f>
        <v>🟡</v>
      </c>
      <c r="Q96" s="14">
        <v>76.3</v>
      </c>
      <c r="R96" s="16">
        <v>14.3</v>
      </c>
      <c r="S96" s="16">
        <v>9.4</v>
      </c>
      <c r="T96" s="129" t="s">
        <v>106</v>
      </c>
    </row>
    <row r="97" spans="1:20" ht="32.1" customHeight="1">
      <c r="A97" s="78">
        <v>2</v>
      </c>
      <c r="B97" s="139" t="s">
        <v>107</v>
      </c>
      <c r="C97" s="67">
        <v>45901</v>
      </c>
      <c r="D97" s="15" t="s">
        <v>28</v>
      </c>
      <c r="E97" s="20" t="s">
        <v>22</v>
      </c>
      <c r="F97" s="19" t="s">
        <v>26</v>
      </c>
      <c r="G97" s="9">
        <v>824</v>
      </c>
      <c r="H97" s="25">
        <v>565</v>
      </c>
      <c r="I97" s="29">
        <v>98</v>
      </c>
      <c r="J97" s="11">
        <v>0</v>
      </c>
      <c r="K97" s="36">
        <f>(Table1[[#This Row],[unsub]]/Table1[[#This Row],[unique-sends]])*100</f>
        <v>0</v>
      </c>
      <c r="L97" s="39">
        <f>Table1[[#This Row],[unique-opens]] / Table1[[#This Row],[unique-sends]] * 100</f>
        <v>68.567961165048544</v>
      </c>
      <c r="M97" s="40">
        <f>Table1[[#This Row],[unique-clicks]] / Table1[[#This Row],[unique-sends]] * 100</f>
        <v>11.893203883495145</v>
      </c>
      <c r="N97" s="37">
        <f>Table1[[#This Row],[unique-clicks]] / Table1[[#This Row],[unique-opens]] * 100</f>
        <v>17.345132743362832</v>
      </c>
      <c r="O97" s="37">
        <f>(MIN(Table1[[#This Row],[unique-opens]]/Table1[[#This Row],[unique-sends]],1)*50
 + MIN(Table1[[#This Row],[unique-clicks]]/Table1[[#This Row],[unique-sends]],1)*50)
 * (1 + MIN(Table1[[#This Row],[unique-clicks]]/Table1[[#This Row],[unique-sends]],1))
 - ((Table1[[#This Row],[unsub]]/Table1[[#This Row],[unique-sends]]*100)*2)</f>
        <v>45.015287727401265</v>
      </c>
      <c r="P97" s="37" t="str">
        <f>IF(Table1[[#This Row],[Engagement Score]]&lt;30,"🔴",IF(Table1[[#This Row],[Engagement Score]]&lt;40,"🟡","🟢"))</f>
        <v>🟢</v>
      </c>
      <c r="Q97" s="14">
        <v>67.7</v>
      </c>
      <c r="R97" s="16">
        <v>15</v>
      </c>
      <c r="S97" s="16">
        <v>17.3</v>
      </c>
      <c r="T97" s="129" t="s">
        <v>108</v>
      </c>
    </row>
    <row r="98" spans="1:20" ht="32.1" customHeight="1">
      <c r="A98" s="78">
        <v>3</v>
      </c>
      <c r="B98" s="136" t="s">
        <v>109</v>
      </c>
      <c r="C98" s="67">
        <v>45901</v>
      </c>
      <c r="D98" s="15" t="s">
        <v>21</v>
      </c>
      <c r="E98" s="20" t="s">
        <v>22</v>
      </c>
      <c r="F98" s="19" t="s">
        <v>26</v>
      </c>
      <c r="G98" s="9">
        <v>8665</v>
      </c>
      <c r="H98" s="25">
        <v>4769</v>
      </c>
      <c r="I98" s="29">
        <v>402</v>
      </c>
      <c r="J98" s="11">
        <v>10</v>
      </c>
      <c r="K98" s="36">
        <f>(Table1[[#This Row],[unsub]]/Table1[[#This Row],[unique-sends]])*100</f>
        <v>0.1154068090017311</v>
      </c>
      <c r="L98" s="39">
        <f>Table1[[#This Row],[unique-opens]] / Table1[[#This Row],[unique-sends]] * 100</f>
        <v>55.037507212925561</v>
      </c>
      <c r="M98" s="40">
        <f>Table1[[#This Row],[unique-clicks]] / Table1[[#This Row],[unique-sends]] * 100</f>
        <v>4.6393537218695897</v>
      </c>
      <c r="N98" s="37">
        <f>Table1[[#This Row],[unique-clicks]] / Table1[[#This Row],[unique-opens]] * 100</f>
        <v>8.4294401342000427</v>
      </c>
      <c r="O98" s="37">
        <f>(MIN(Table1[[#This Row],[unique-opens]]/Table1[[#This Row],[unique-sends]],1)*50
 + MIN(Table1[[#This Row],[unique-clicks]]/Table1[[#This Row],[unique-sends]],1)*50)
 * (1 + MIN(Table1[[#This Row],[unique-clicks]]/Table1[[#This Row],[unique-sends]],1))
 - ((Table1[[#This Row],[unsub]]/Table1[[#This Row],[unique-sends]]*100)*2)</f>
        <v>30.991927183830793</v>
      </c>
      <c r="P98" s="37" t="str">
        <f>IF(Table1[[#This Row],[Engagement Score]]&lt;30,"🔴",IF(Table1[[#This Row],[Engagement Score]]&lt;40,"🟡","🟢"))</f>
        <v>🟡</v>
      </c>
      <c r="Q98" s="14">
        <v>75.8</v>
      </c>
      <c r="R98" s="16">
        <v>13.9</v>
      </c>
      <c r="S98" s="16">
        <v>10.3</v>
      </c>
      <c r="T98" s="129" t="s">
        <v>110</v>
      </c>
    </row>
    <row r="99" spans="1:20" ht="32.1" customHeight="1">
      <c r="A99" s="79">
        <v>4</v>
      </c>
      <c r="B99" s="136" t="s">
        <v>111</v>
      </c>
      <c r="C99" s="68">
        <v>45901</v>
      </c>
      <c r="D99" s="20" t="s">
        <v>28</v>
      </c>
      <c r="E99" s="20" t="s">
        <v>22</v>
      </c>
      <c r="F99" s="19" t="s">
        <v>26</v>
      </c>
      <c r="G99" s="9">
        <v>1207</v>
      </c>
      <c r="H99" s="25">
        <v>740</v>
      </c>
      <c r="I99" s="29">
        <v>82</v>
      </c>
      <c r="J99" s="11">
        <v>0</v>
      </c>
      <c r="K99" s="36">
        <f>(Table1[[#This Row],[unsub]]/Table1[[#This Row],[unique-sends]])*100</f>
        <v>0</v>
      </c>
      <c r="L99" s="39">
        <f>Table1[[#This Row],[unique-opens]] / Table1[[#This Row],[unique-sends]] * 100</f>
        <v>61.309030654515325</v>
      </c>
      <c r="M99" s="40">
        <f>Table1[[#This Row],[unique-clicks]] / Table1[[#This Row],[unique-sends]] * 100</f>
        <v>6.793703396851698</v>
      </c>
      <c r="N99" s="37">
        <f>Table1[[#This Row],[unique-clicks]] / Table1[[#This Row],[unique-opens]] * 100</f>
        <v>11.081081081081082</v>
      </c>
      <c r="O99" s="37">
        <f>(MIN(Table1[[#This Row],[unique-opens]]/Table1[[#This Row],[unique-sends]],1)*50
 + MIN(Table1[[#This Row],[unique-clicks]]/Table1[[#This Row],[unique-sends]],1)*50)
 * (1 + MIN(Table1[[#This Row],[unique-clicks]]/Table1[[#This Row],[unique-sends]],1))
 - ((Table1[[#This Row],[unsub]]/Table1[[#This Row],[unique-sends]]*100)*2)</f>
        <v>36.364715903981811</v>
      </c>
      <c r="P99" s="37" t="str">
        <f>IF(Table1[[#This Row],[Engagement Score]]&lt;30,"🔴",IF(Table1[[#This Row],[Engagement Score]]&lt;40,"🟡","🟢"))</f>
        <v>🟡</v>
      </c>
      <c r="Q99" s="14">
        <v>75.8</v>
      </c>
      <c r="R99" s="16">
        <v>18.899999999999999</v>
      </c>
      <c r="S99" s="16">
        <v>5.3</v>
      </c>
      <c r="T99" s="129" t="s">
        <v>112</v>
      </c>
    </row>
    <row r="100" spans="1:20" ht="32.1" customHeight="1">
      <c r="A100" s="79">
        <v>6</v>
      </c>
      <c r="B100" s="136" t="s">
        <v>113</v>
      </c>
      <c r="C100" s="67">
        <v>45901</v>
      </c>
      <c r="D100" s="15" t="s">
        <v>21</v>
      </c>
      <c r="E100" s="15" t="s">
        <v>22</v>
      </c>
      <c r="F100" s="19" t="s">
        <v>26</v>
      </c>
      <c r="G100" s="9">
        <v>2621</v>
      </c>
      <c r="H100" s="25">
        <v>1243</v>
      </c>
      <c r="I100" s="29">
        <v>178</v>
      </c>
      <c r="J100" s="11">
        <v>1</v>
      </c>
      <c r="K100" s="36">
        <f>(Table1[[#This Row],[unsub]]/Table1[[#This Row],[unique-sends]])*100</f>
        <v>3.8153376573826787E-2</v>
      </c>
      <c r="L100" s="39">
        <f>Table1[[#This Row],[unique-opens]] / Table1[[#This Row],[unique-sends]] * 100</f>
        <v>47.424647081266691</v>
      </c>
      <c r="M100" s="40">
        <f>Table1[[#This Row],[unique-clicks]] / Table1[[#This Row],[unique-sends]] * 100</f>
        <v>6.7913010301411667</v>
      </c>
      <c r="N100" s="37">
        <f>Table1[[#This Row],[unique-clicks]] / Table1[[#This Row],[unique-opens]] * 100</f>
        <v>14.320193081255027</v>
      </c>
      <c r="O100" s="37">
        <f>(MIN(Table1[[#This Row],[unique-opens]]/Table1[[#This Row],[unique-sends]],1)*50
 + MIN(Table1[[#This Row],[unique-clicks]]/Table1[[#This Row],[unique-sends]],1)*50)
 * (1 + MIN(Table1[[#This Row],[unique-clicks]]/Table1[[#This Row],[unique-sends]],1))
 - ((Table1[[#This Row],[unsub]]/Table1[[#This Row],[unique-sends]]*100)*2)</f>
        <v>28.872651423851693</v>
      </c>
      <c r="P100" s="37" t="str">
        <f>IF(Table1[[#This Row],[Engagement Score]]&lt;30,"🔴",IF(Table1[[#This Row],[Engagement Score]]&lt;40,"🟡","🟢"))</f>
        <v>🔴</v>
      </c>
      <c r="Q100" s="10">
        <v>78.099999999999994</v>
      </c>
      <c r="R100" s="11">
        <v>13.3</v>
      </c>
      <c r="S100" s="11">
        <v>8.6</v>
      </c>
      <c r="T100" s="129" t="s">
        <v>114</v>
      </c>
    </row>
    <row r="101" spans="1:20" ht="32.1" customHeight="1">
      <c r="A101" s="75">
        <v>7</v>
      </c>
      <c r="B101" s="136" t="s">
        <v>115</v>
      </c>
      <c r="C101" s="67">
        <v>45901</v>
      </c>
      <c r="D101" s="15" t="s">
        <v>21</v>
      </c>
      <c r="E101" s="15" t="s">
        <v>22</v>
      </c>
      <c r="F101" s="19" t="s">
        <v>26</v>
      </c>
      <c r="G101" s="13">
        <v>2543</v>
      </c>
      <c r="H101" s="24">
        <v>1299</v>
      </c>
      <c r="I101" s="28">
        <v>168</v>
      </c>
      <c r="J101" s="16">
        <v>3</v>
      </c>
      <c r="K101" s="35">
        <f>(Table1[[#This Row],[unsub]]/Table1[[#This Row],[unique-sends]])*100</f>
        <v>0.11797090051120723</v>
      </c>
      <c r="L101" s="21">
        <f>Table1[[#This Row],[unique-opens]] / Table1[[#This Row],[unique-sends]] * 100</f>
        <v>51.081399921352734</v>
      </c>
      <c r="M101" s="37">
        <f>Table1[[#This Row],[unique-clicks]] / Table1[[#This Row],[unique-sends]] * 100</f>
        <v>6.6063704286276046</v>
      </c>
      <c r="N101" s="37">
        <f>Table1[[#This Row],[unique-clicks]] / Table1[[#This Row],[unique-opens]] * 100</f>
        <v>12.933025404157044</v>
      </c>
      <c r="O101" s="37">
        <f>(MIN(Table1[[#This Row],[unique-opens]]/Table1[[#This Row],[unique-sends]],1)*50
 + MIN(Table1[[#This Row],[unique-clicks]]/Table1[[#This Row],[unique-sends]],1)*50)
 * (1 + MIN(Table1[[#This Row],[unique-clicks]]/Table1[[#This Row],[unique-sends]],1))
 - ((Table1[[#This Row],[unsub]]/Table1[[#This Row],[unique-sends]]*100)*2)</f>
        <v>30.513477274635605</v>
      </c>
      <c r="P101" s="37" t="str">
        <f>IF(Table1[[#This Row],[Engagement Score]]&lt;30,"🔴",IF(Table1[[#This Row],[Engagement Score]]&lt;40,"🟡","🟢"))</f>
        <v>🟡</v>
      </c>
      <c r="Q101" s="10">
        <v>70.5</v>
      </c>
      <c r="R101" s="11">
        <v>18.5</v>
      </c>
      <c r="S101" s="11">
        <v>11</v>
      </c>
      <c r="T101" s="131" t="s">
        <v>116</v>
      </c>
    </row>
    <row r="102" spans="1:20" ht="32.1" customHeight="1">
      <c r="A102" s="79">
        <v>8</v>
      </c>
      <c r="B102" s="136" t="s">
        <v>117</v>
      </c>
      <c r="C102" s="67">
        <v>45901</v>
      </c>
      <c r="D102" s="20" t="s">
        <v>28</v>
      </c>
      <c r="E102" s="15" t="s">
        <v>22</v>
      </c>
      <c r="F102" s="19" t="s">
        <v>26</v>
      </c>
      <c r="G102" s="9">
        <v>715</v>
      </c>
      <c r="H102" s="25">
        <v>427</v>
      </c>
      <c r="I102" s="29">
        <v>62</v>
      </c>
      <c r="J102" s="11">
        <v>0</v>
      </c>
      <c r="K102" s="36">
        <f>(Table1[[#This Row],[unsub]]/Table1[[#This Row],[unique-sends]])*100</f>
        <v>0</v>
      </c>
      <c r="L102" s="6">
        <f>Table1[[#This Row],[unique-opens]] / Table1[[#This Row],[unique-sends]] * 100</f>
        <v>59.72027972027972</v>
      </c>
      <c r="M102" s="31">
        <f>Table1[[#This Row],[unique-clicks]] / Table1[[#This Row],[unique-sends]] * 100</f>
        <v>8.6713286713286699</v>
      </c>
      <c r="N102" s="37">
        <f>Table1[[#This Row],[unique-clicks]] / Table1[[#This Row],[unique-opens]] * 100</f>
        <v>14.519906323185012</v>
      </c>
      <c r="O102" s="37">
        <f>(MIN(Table1[[#This Row],[unique-opens]]/Table1[[#This Row],[unique-sends]],1)*50
 + MIN(Table1[[#This Row],[unique-clicks]]/Table1[[#This Row],[unique-sends]],1)*50)
 * (1 + MIN(Table1[[#This Row],[unique-clicks]]/Table1[[#This Row],[unique-sends]],1))
 - ((Table1[[#This Row],[unsub]]/Table1[[#This Row],[unique-sends]]*100)*2)</f>
        <v>37.161034769426372</v>
      </c>
      <c r="P102" s="37" t="str">
        <f>IF(Table1[[#This Row],[Engagement Score]]&lt;30,"🔴",IF(Table1[[#This Row],[Engagement Score]]&lt;40,"🟡","🟢"))</f>
        <v>🟡</v>
      </c>
      <c r="Q102" s="10">
        <v>66.099999999999994</v>
      </c>
      <c r="R102" s="11">
        <v>18.3</v>
      </c>
      <c r="S102" s="11">
        <v>15.6</v>
      </c>
      <c r="T102" s="129" t="s">
        <v>118</v>
      </c>
    </row>
    <row r="103" spans="1:20" ht="32.1" customHeight="1">
      <c r="A103" s="75">
        <v>8</v>
      </c>
      <c r="B103" s="138" t="s">
        <v>119</v>
      </c>
      <c r="C103" s="67">
        <v>45901</v>
      </c>
      <c r="D103" s="20" t="s">
        <v>28</v>
      </c>
      <c r="E103" s="15" t="s">
        <v>22</v>
      </c>
      <c r="F103" s="19" t="s">
        <v>26</v>
      </c>
      <c r="G103" s="9">
        <v>3480</v>
      </c>
      <c r="H103" s="25">
        <v>1997</v>
      </c>
      <c r="I103" s="29">
        <v>339</v>
      </c>
      <c r="J103" s="11">
        <v>0</v>
      </c>
      <c r="K103" s="36">
        <f>(Table1[[#This Row],[unsub]]/Table1[[#This Row],[unique-sends]])*100</f>
        <v>0</v>
      </c>
      <c r="L103" s="6">
        <f>Table1[[#This Row],[unique-opens]] / Table1[[#This Row],[unique-sends]] * 100</f>
        <v>57.385057471264368</v>
      </c>
      <c r="M103" s="31">
        <f>Table1[[#This Row],[unique-clicks]] / Table1[[#This Row],[unique-sends]] * 100</f>
        <v>9.7413793103448274</v>
      </c>
      <c r="N103" s="37">
        <f>Table1[[#This Row],[unique-clicks]] / Table1[[#This Row],[unique-opens]] * 100</f>
        <v>16.975463194792187</v>
      </c>
      <c r="O103" s="37">
        <f>(MIN(Table1[[#This Row],[unique-opens]]/Table1[[#This Row],[unique-sends]],1)*50
 + MIN(Table1[[#This Row],[unique-clicks]]/Table1[[#This Row],[unique-sends]],1)*50)
 * (1 + MIN(Table1[[#This Row],[unique-clicks]]/Table1[[#This Row],[unique-sends]],1))
 - ((Table1[[#This Row],[unsub]]/Table1[[#This Row],[unique-sends]]*100)*2)</f>
        <v>36.83273880301229</v>
      </c>
      <c r="P103" s="37" t="str">
        <f>IF(Table1[[#This Row],[Engagement Score]]&lt;30,"🔴",IF(Table1[[#This Row],[Engagement Score]]&lt;40,"🟡","🟢"))</f>
        <v>🟡</v>
      </c>
      <c r="Q103" s="10">
        <v>76.8</v>
      </c>
      <c r="R103" s="11">
        <v>14.7</v>
      </c>
      <c r="S103" s="11">
        <v>8.6</v>
      </c>
      <c r="T103" s="129" t="s">
        <v>120</v>
      </c>
    </row>
    <row r="104" spans="1:20" ht="32.1" customHeight="1">
      <c r="A104" s="75">
        <v>9</v>
      </c>
      <c r="B104" s="136" t="s">
        <v>121</v>
      </c>
      <c r="C104" s="67">
        <v>45901</v>
      </c>
      <c r="D104" s="15" t="s">
        <v>21</v>
      </c>
      <c r="E104" s="15" t="s">
        <v>22</v>
      </c>
      <c r="F104" s="19" t="s">
        <v>26</v>
      </c>
      <c r="G104" s="13">
        <v>406</v>
      </c>
      <c r="H104" s="24">
        <v>271</v>
      </c>
      <c r="I104" s="28">
        <v>51</v>
      </c>
      <c r="J104" s="16">
        <v>0</v>
      </c>
      <c r="K104" s="35">
        <f>(Table1[[#This Row],[unsub]]/Table1[[#This Row],[unique-sends]])*100</f>
        <v>0</v>
      </c>
      <c r="L104" s="44">
        <f>Table1[[#This Row],[unique-opens]] / Table1[[#This Row],[unique-sends]] * 100</f>
        <v>66.748768472906406</v>
      </c>
      <c r="M104" s="45">
        <f>Table1[[#This Row],[unique-clicks]] / Table1[[#This Row],[unique-sends]] * 100</f>
        <v>12.561576354679804</v>
      </c>
      <c r="N104" s="37">
        <f>Table1[[#This Row],[unique-clicks]] / Table1[[#This Row],[unique-opens]] * 100</f>
        <v>18.819188191881921</v>
      </c>
      <c r="O104" s="37">
        <f>(MIN(Table1[[#This Row],[unique-opens]]/Table1[[#This Row],[unique-sends]],1)*50
 + MIN(Table1[[#This Row],[unique-clicks]]/Table1[[#This Row],[unique-sends]],1)*50)
 * (1 + MIN(Table1[[#This Row],[unique-clicks]]/Table1[[#This Row],[unique-sends]],1))
 - ((Table1[[#This Row],[unsub]]/Table1[[#This Row],[unique-sends]]*100)*2)</f>
        <v>44.636487175131649</v>
      </c>
      <c r="P104" s="37" t="str">
        <f>IF(Table1[[#This Row],[Engagement Score]]&lt;30,"🔴",IF(Table1[[#This Row],[Engagement Score]]&lt;40,"🟡","🟢"))</f>
        <v>🟢</v>
      </c>
      <c r="Q104" s="10">
        <v>71.900000000000006</v>
      </c>
      <c r="R104" s="11">
        <v>125</v>
      </c>
      <c r="S104" s="11">
        <v>15.6</v>
      </c>
      <c r="T104" s="131" t="s">
        <v>122</v>
      </c>
    </row>
    <row r="105" spans="1:20" ht="32.1" customHeight="1">
      <c r="A105" s="75">
        <v>14</v>
      </c>
      <c r="B105" s="138" t="s">
        <v>20</v>
      </c>
      <c r="C105" s="67">
        <v>45901</v>
      </c>
      <c r="D105" s="47" t="s">
        <v>21</v>
      </c>
      <c r="E105" s="49" t="s">
        <v>22</v>
      </c>
      <c r="F105" s="52" t="s">
        <v>23</v>
      </c>
      <c r="G105" s="9">
        <v>1790</v>
      </c>
      <c r="H105" s="25">
        <v>2067</v>
      </c>
      <c r="I105" s="29">
        <v>60</v>
      </c>
      <c r="J105" s="11">
        <v>20</v>
      </c>
      <c r="K105" s="36">
        <f>(Table1[[#This Row],[unsub]]/Table1[[#This Row],[unique-sends]])*100</f>
        <v>1.1173184357541899</v>
      </c>
      <c r="L105" s="6">
        <f>Table1[[#This Row],[unique-opens]] / Table1[[#This Row],[unique-sends]] * 100</f>
        <v>115.47486033519554</v>
      </c>
      <c r="M105" s="31">
        <f>Table1[[#This Row],[unique-clicks]] / Table1[[#This Row],[unique-sends]] * 100</f>
        <v>3.3519553072625698</v>
      </c>
      <c r="N105" s="37">
        <f>Table1[[#This Row],[unique-clicks]] / Table1[[#This Row],[unique-opens]] * 100</f>
        <v>2.9027576197387517</v>
      </c>
      <c r="O105" s="37">
        <f>(MIN(Table1[[#This Row],[unique-opens]]/Table1[[#This Row],[unique-sends]],1)*50
 + MIN(Table1[[#This Row],[unique-clicks]]/Table1[[#This Row],[unique-sends]],1)*50)
 * (1 + MIN(Table1[[#This Row],[unique-clicks]]/Table1[[#This Row],[unique-sends]],1))
 - ((Table1[[#This Row],[unsub]]/Table1[[#This Row],[unique-sends]]*100)*2)</f>
        <v>51.173496457663624</v>
      </c>
      <c r="P105" s="37" t="str">
        <f>IF(Table1[[#This Row],[Engagement Score]]&lt;30,"🔴",IF(Table1[[#This Row],[Engagement Score]]&lt;40,"🟡","🟢"))</f>
        <v>🟢</v>
      </c>
      <c r="Q105" s="10">
        <v>0</v>
      </c>
      <c r="R105" s="10">
        <v>0</v>
      </c>
      <c r="S105" s="10">
        <v>0</v>
      </c>
      <c r="T105" s="88"/>
    </row>
    <row r="106" spans="1:20" ht="32.1" customHeight="1">
      <c r="A106" s="75">
        <v>34</v>
      </c>
      <c r="B106" s="138" t="s">
        <v>30</v>
      </c>
      <c r="C106" s="67">
        <v>45901</v>
      </c>
      <c r="D106" s="46" t="s">
        <v>21</v>
      </c>
      <c r="E106" s="49" t="s">
        <v>22</v>
      </c>
      <c r="F106" s="52" t="s">
        <v>23</v>
      </c>
      <c r="G106" s="9">
        <v>5466</v>
      </c>
      <c r="H106" s="25">
        <v>4122</v>
      </c>
      <c r="I106" s="29">
        <v>137</v>
      </c>
      <c r="J106" s="11">
        <v>23</v>
      </c>
      <c r="K106" s="36">
        <f>(Table1[[#This Row],[unsub]]/Table1[[#This Row],[unique-sends]])*100</f>
        <v>0.42078302231979509</v>
      </c>
      <c r="L106" s="39">
        <f>Table1[[#This Row],[unique-opens]] / Table1[[#This Row],[unique-sends]] * 100</f>
        <v>75.411635565312835</v>
      </c>
      <c r="M106" s="40">
        <f>Table1[[#This Row],[unique-clicks]] / Table1[[#This Row],[unique-sends]] * 100</f>
        <v>2.5064032199048665</v>
      </c>
      <c r="N106" s="37">
        <f>Table1[[#This Row],[unique-clicks]] / Table1[[#This Row],[unique-opens]] * 100</f>
        <v>3.323629306162057</v>
      </c>
      <c r="O106" s="37">
        <f>(MIN(Table1[[#This Row],[unique-opens]]/Table1[[#This Row],[unique-sends]],1)*50
 + MIN(Table1[[#This Row],[unique-clicks]]/Table1[[#This Row],[unique-sends]],1)*50)
 * (1 + MIN(Table1[[#This Row],[unique-clicks]]/Table1[[#This Row],[unique-sends]],1))
 - ((Table1[[#This Row],[unsub]]/Table1[[#This Row],[unique-sends]]*100)*2)</f>
        <v>39.093923464468972</v>
      </c>
      <c r="P106" s="37" t="str">
        <f>IF(Table1[[#This Row],[Engagement Score]]&lt;30,"🔴",IF(Table1[[#This Row],[Engagement Score]]&lt;40,"🟡","🟢"))</f>
        <v>🟡</v>
      </c>
      <c r="Q106" s="10">
        <v>0</v>
      </c>
      <c r="R106" s="10">
        <v>0</v>
      </c>
      <c r="S106" s="10">
        <v>0</v>
      </c>
      <c r="T106" s="88"/>
    </row>
    <row r="107" spans="1:20" ht="32.1" customHeight="1">
      <c r="A107" s="75">
        <v>35</v>
      </c>
      <c r="B107" s="138" t="s">
        <v>31</v>
      </c>
      <c r="C107" s="67">
        <v>45901</v>
      </c>
      <c r="D107" s="46" t="s">
        <v>21</v>
      </c>
      <c r="E107" s="49" t="s">
        <v>22</v>
      </c>
      <c r="F107" s="52" t="s">
        <v>23</v>
      </c>
      <c r="G107" s="9">
        <v>3575</v>
      </c>
      <c r="H107" s="25">
        <v>2001</v>
      </c>
      <c r="I107" s="29">
        <v>213</v>
      </c>
      <c r="J107" s="11">
        <v>10</v>
      </c>
      <c r="K107" s="36">
        <f>(Table1[[#This Row],[unsub]]/Table1[[#This Row],[unique-sends]])*100</f>
        <v>0.27972027972027974</v>
      </c>
      <c r="L107" s="39">
        <f>Table1[[#This Row],[unique-opens]] / Table1[[#This Row],[unique-sends]] * 100</f>
        <v>55.972027972027973</v>
      </c>
      <c r="M107" s="40">
        <f>Table1[[#This Row],[unique-clicks]] / Table1[[#This Row],[unique-sends]] * 100</f>
        <v>5.9580419580419584</v>
      </c>
      <c r="N107" s="37">
        <f>Table1[[#This Row],[unique-clicks]] / Table1[[#This Row],[unique-opens]] * 100</f>
        <v>10.644677661169414</v>
      </c>
      <c r="O107" s="37">
        <f>(MIN(Table1[[#This Row],[unique-opens]]/Table1[[#This Row],[unique-sends]],1)*50
 + MIN(Table1[[#This Row],[unique-clicks]]/Table1[[#This Row],[unique-sends]],1)*50)
 * (1 + MIN(Table1[[#This Row],[unique-clicks]]/Table1[[#This Row],[unique-sends]],1))
 - ((Table1[[#This Row],[unsub]]/Table1[[#This Row],[unique-sends]]*100)*2)</f>
        <v>32.25050418113355</v>
      </c>
      <c r="P107" s="37" t="str">
        <f>IF(Table1[[#This Row],[Engagement Score]]&lt;30,"🔴",IF(Table1[[#This Row],[Engagement Score]]&lt;40,"🟡","🟢"))</f>
        <v>🟡</v>
      </c>
      <c r="Q107" s="10">
        <v>0</v>
      </c>
      <c r="R107" s="10">
        <v>0</v>
      </c>
      <c r="S107" s="10">
        <v>0</v>
      </c>
      <c r="T107" s="88"/>
    </row>
    <row r="108" spans="1:20" ht="32.1" customHeight="1">
      <c r="A108" s="75">
        <v>36</v>
      </c>
      <c r="B108" s="136" t="s">
        <v>31</v>
      </c>
      <c r="C108" s="67">
        <v>45901</v>
      </c>
      <c r="D108" s="47" t="s">
        <v>28</v>
      </c>
      <c r="E108" s="49" t="s">
        <v>22</v>
      </c>
      <c r="F108" s="52" t="s">
        <v>23</v>
      </c>
      <c r="G108" s="13">
        <v>127</v>
      </c>
      <c r="H108" s="24">
        <v>109</v>
      </c>
      <c r="I108" s="28">
        <v>17</v>
      </c>
      <c r="J108" s="16">
        <v>0</v>
      </c>
      <c r="K108" s="35">
        <f>(Table1[[#This Row],[unsub]]/Table1[[#This Row],[unique-sends]])*100</f>
        <v>0</v>
      </c>
      <c r="L108" s="44">
        <f>Table1[[#This Row],[unique-opens]] / Table1[[#This Row],[unique-sends]] * 100</f>
        <v>85.826771653543304</v>
      </c>
      <c r="M108" s="45">
        <f>Table1[[#This Row],[unique-clicks]] / Table1[[#This Row],[unique-sends]] * 100</f>
        <v>13.385826771653544</v>
      </c>
      <c r="N108" s="37">
        <f>Table1[[#This Row],[unique-clicks]] / Table1[[#This Row],[unique-opens]] * 100</f>
        <v>15.596330275229359</v>
      </c>
      <c r="O108" s="37">
        <f>(MIN(Table1[[#This Row],[unique-opens]]/Table1[[#This Row],[unique-sends]],1)*50
 + MIN(Table1[[#This Row],[unique-clicks]]/Table1[[#This Row],[unique-sends]],1)*50)
 * (1 + MIN(Table1[[#This Row],[unique-clicks]]/Table1[[#This Row],[unique-sends]],1))
 - ((Table1[[#This Row],[unsub]]/Table1[[#This Row],[unique-sends]]*100)*2)</f>
        <v>56.24651249302498</v>
      </c>
      <c r="P108" s="37" t="str">
        <f>IF(Table1[[#This Row],[Engagement Score]]&lt;30,"🔴",IF(Table1[[#This Row],[Engagement Score]]&lt;40,"🟡","🟢"))</f>
        <v>🟢</v>
      </c>
      <c r="Q108" s="10">
        <v>0</v>
      </c>
      <c r="R108" s="10">
        <v>0</v>
      </c>
      <c r="S108" s="10">
        <v>0</v>
      </c>
      <c r="T108" s="130"/>
    </row>
    <row r="109" spans="1:20" ht="32.1" customHeight="1">
      <c r="A109" s="75">
        <v>38</v>
      </c>
      <c r="B109" s="138" t="s">
        <v>123</v>
      </c>
      <c r="C109" s="68">
        <v>45901</v>
      </c>
      <c r="D109" s="15" t="s">
        <v>21</v>
      </c>
      <c r="E109" s="15" t="s">
        <v>22</v>
      </c>
      <c r="F109" s="19" t="s">
        <v>23</v>
      </c>
      <c r="G109" s="9">
        <v>4027</v>
      </c>
      <c r="H109" s="25">
        <v>2816</v>
      </c>
      <c r="I109" s="29">
        <v>96</v>
      </c>
      <c r="J109" s="11">
        <v>19</v>
      </c>
      <c r="K109" s="36">
        <f>(Table1[[#This Row],[unsub]]/Table1[[#This Row],[unique-sends]])*100</f>
        <v>0.47181524708219513</v>
      </c>
      <c r="L109" s="6">
        <f>Table1[[#This Row],[unique-opens]] / Table1[[#This Row],[unique-sends]] * 100</f>
        <v>69.927986093866394</v>
      </c>
      <c r="M109" s="31">
        <f>Table1[[#This Row],[unique-clicks]] / Table1[[#This Row],[unique-sends]] * 100</f>
        <v>2.3839086168363548</v>
      </c>
      <c r="N109" s="37">
        <f>Table1[[#This Row],[unique-clicks]] / Table1[[#This Row],[unique-opens]] * 100</f>
        <v>3.4090909090909087</v>
      </c>
      <c r="O109" s="37">
        <f>(MIN(Table1[[#This Row],[unique-opens]]/Table1[[#This Row],[unique-sends]],1)*50
 + MIN(Table1[[#This Row],[unique-clicks]]/Table1[[#This Row],[unique-sends]],1)*50)
 * (1 + MIN(Table1[[#This Row],[unique-clicks]]/Table1[[#This Row],[unique-sends]],1))
 - ((Table1[[#This Row],[unsub]]/Table1[[#This Row],[unique-sends]]*100)*2)</f>
        <v>36.07424160569002</v>
      </c>
      <c r="P109" s="37" t="str">
        <f>IF(Table1[[#This Row],[Engagement Score]]&lt;30,"🔴",IF(Table1[[#This Row],[Engagement Score]]&lt;40,"🟡","🟢"))</f>
        <v>🟡</v>
      </c>
      <c r="Q109" s="10">
        <v>0</v>
      </c>
      <c r="R109" s="11">
        <v>0</v>
      </c>
      <c r="S109" s="11">
        <v>0</v>
      </c>
      <c r="T109" s="88"/>
    </row>
    <row r="110" spans="1:20" ht="32.1" customHeight="1">
      <c r="A110" s="75">
        <v>38</v>
      </c>
      <c r="B110" s="138" t="s">
        <v>33</v>
      </c>
      <c r="C110" s="68">
        <v>45901</v>
      </c>
      <c r="D110" s="47" t="s">
        <v>21</v>
      </c>
      <c r="E110" s="49" t="s">
        <v>22</v>
      </c>
      <c r="F110" s="52" t="s">
        <v>23</v>
      </c>
      <c r="G110" s="9">
        <v>142</v>
      </c>
      <c r="H110" s="25">
        <v>136</v>
      </c>
      <c r="I110" s="29">
        <v>21</v>
      </c>
      <c r="J110" s="11">
        <v>0</v>
      </c>
      <c r="K110" s="36">
        <f>(Table1[[#This Row],[unsub]]/Table1[[#This Row],[unique-sends]])*100</f>
        <v>0</v>
      </c>
      <c r="L110" s="39">
        <f>Table1[[#This Row],[unique-opens]] / Table1[[#This Row],[unique-sends]] * 100</f>
        <v>95.774647887323937</v>
      </c>
      <c r="M110" s="40">
        <f>Table1[[#This Row],[unique-clicks]] / Table1[[#This Row],[unique-sends]] * 100</f>
        <v>14.788732394366196</v>
      </c>
      <c r="N110" s="37">
        <f>Table1[[#This Row],[unique-clicks]] / Table1[[#This Row],[unique-opens]] * 100</f>
        <v>15.441176470588236</v>
      </c>
      <c r="O110" s="37">
        <f>(MIN(Table1[[#This Row],[unique-opens]]/Table1[[#This Row],[unique-sends]],1)*50
 + MIN(Table1[[#This Row],[unique-clicks]]/Table1[[#This Row],[unique-sends]],1)*50)
 * (1 + MIN(Table1[[#This Row],[unique-clicks]]/Table1[[#This Row],[unique-sends]],1))
 - ((Table1[[#This Row],[unsub]]/Table1[[#This Row],[unique-sends]]*100)*2)</f>
        <v>63.457151358857367</v>
      </c>
      <c r="P110" s="37" t="str">
        <f>IF(Table1[[#This Row],[Engagement Score]]&lt;30,"🔴",IF(Table1[[#This Row],[Engagement Score]]&lt;40,"🟡","🟢"))</f>
        <v>🟢</v>
      </c>
      <c r="Q110" s="10">
        <v>0</v>
      </c>
      <c r="R110" s="10">
        <v>0</v>
      </c>
      <c r="S110" s="10">
        <v>0</v>
      </c>
      <c r="T110" s="88"/>
    </row>
    <row r="111" spans="1:20" ht="32.1" customHeight="1">
      <c r="A111" s="75">
        <v>39</v>
      </c>
      <c r="B111" s="138" t="s">
        <v>123</v>
      </c>
      <c r="C111" s="68">
        <v>45901</v>
      </c>
      <c r="D111" s="20" t="s">
        <v>28</v>
      </c>
      <c r="E111" s="15" t="s">
        <v>22</v>
      </c>
      <c r="F111" s="19" t="s">
        <v>23</v>
      </c>
      <c r="G111" s="9">
        <v>173</v>
      </c>
      <c r="H111" s="25">
        <v>106</v>
      </c>
      <c r="I111" s="29">
        <v>2</v>
      </c>
      <c r="J111" s="11">
        <v>1</v>
      </c>
      <c r="K111" s="36">
        <f>(Table1[[#This Row],[unsub]]/Table1[[#This Row],[unique-sends]])*100</f>
        <v>0.57803468208092479</v>
      </c>
      <c r="L111" s="39">
        <f>Table1[[#This Row],[unique-opens]] / Table1[[#This Row],[unique-sends]] * 100</f>
        <v>61.271676300578036</v>
      </c>
      <c r="M111" s="40">
        <f>Table1[[#This Row],[unique-clicks]] / Table1[[#This Row],[unique-sends]] * 100</f>
        <v>1.1560693641618496</v>
      </c>
      <c r="N111" s="37">
        <f>Table1[[#This Row],[unique-clicks]] / Table1[[#This Row],[unique-opens]] * 100</f>
        <v>1.8867924528301887</v>
      </c>
      <c r="O111" s="37">
        <f>(MIN(Table1[[#This Row],[unique-opens]]/Table1[[#This Row],[unique-sends]],1)*50
 + MIN(Table1[[#This Row],[unique-clicks]]/Table1[[#This Row],[unique-sends]],1)*50)
 * (1 + MIN(Table1[[#This Row],[unique-clicks]]/Table1[[#This Row],[unique-sends]],1))
 - ((Table1[[#This Row],[unsub]]/Table1[[#This Row],[unique-sends]]*100)*2)</f>
        <v>30.418657489391563</v>
      </c>
      <c r="P111" s="37" t="str">
        <f>IF(Table1[[#This Row],[Engagement Score]]&lt;30,"🔴",IF(Table1[[#This Row],[Engagement Score]]&lt;40,"🟡","🟢"))</f>
        <v>🟡</v>
      </c>
      <c r="Q111" s="10">
        <v>0</v>
      </c>
      <c r="R111" s="11">
        <v>0</v>
      </c>
      <c r="S111" s="11">
        <v>0</v>
      </c>
      <c r="T111" s="88"/>
    </row>
    <row r="112" spans="1:20" ht="32.1" customHeight="1">
      <c r="A112" s="74">
        <v>39</v>
      </c>
      <c r="B112" s="136" t="s">
        <v>33</v>
      </c>
      <c r="C112" s="68">
        <v>45901</v>
      </c>
      <c r="D112" s="46" t="s">
        <v>28</v>
      </c>
      <c r="E112" s="49" t="s">
        <v>22</v>
      </c>
      <c r="F112" s="52" t="s">
        <v>23</v>
      </c>
      <c r="G112" s="13">
        <v>4</v>
      </c>
      <c r="H112" s="24">
        <v>9</v>
      </c>
      <c r="I112" s="28">
        <v>9</v>
      </c>
      <c r="J112" s="16">
        <v>0</v>
      </c>
      <c r="K112" s="35">
        <f>(Table1[[#This Row],[unsub]]/Table1[[#This Row],[unique-sends]])*100</f>
        <v>0</v>
      </c>
      <c r="L112" s="44">
        <f>Table1[[#This Row],[unique-opens]] / Table1[[#This Row],[unique-sends]] * 100</f>
        <v>225</v>
      </c>
      <c r="M112" s="45">
        <f>Table1[[#This Row],[unique-clicks]] / Table1[[#This Row],[unique-sends]] * 100</f>
        <v>225</v>
      </c>
      <c r="N112" s="37">
        <f>Table1[[#This Row],[unique-clicks]] / Table1[[#This Row],[unique-opens]] * 100</f>
        <v>100</v>
      </c>
      <c r="O112" s="37">
        <f>(MIN(Table1[[#This Row],[unique-opens]]/Table1[[#This Row],[unique-sends]],1)*50
 + MIN(Table1[[#This Row],[unique-clicks]]/Table1[[#This Row],[unique-sends]],1)*50)
 * (1 + MIN(Table1[[#This Row],[unique-clicks]]/Table1[[#This Row],[unique-sends]],1))
 - ((Table1[[#This Row],[unsub]]/Table1[[#This Row],[unique-sends]]*100)*2)</f>
        <v>200</v>
      </c>
      <c r="P112" s="37" t="str">
        <f>IF(Table1[[#This Row],[Engagement Score]]&lt;30,"🔴",IF(Table1[[#This Row],[Engagement Score]]&lt;40,"🟡","🟢"))</f>
        <v>🟢</v>
      </c>
      <c r="Q112" s="10">
        <v>0</v>
      </c>
      <c r="R112" s="10">
        <v>0</v>
      </c>
      <c r="S112" s="10">
        <v>0</v>
      </c>
      <c r="T112" s="130"/>
    </row>
    <row r="113" spans="1:20" ht="32.1" customHeight="1">
      <c r="A113" s="74">
        <v>43</v>
      </c>
      <c r="B113" s="138" t="s">
        <v>37</v>
      </c>
      <c r="C113" s="67">
        <v>45901</v>
      </c>
      <c r="D113" s="20" t="s">
        <v>21</v>
      </c>
      <c r="E113" s="38" t="s">
        <v>22</v>
      </c>
      <c r="F113" s="19" t="s">
        <v>23</v>
      </c>
      <c r="G113" s="9">
        <v>770</v>
      </c>
      <c r="H113" s="25">
        <v>498</v>
      </c>
      <c r="I113" s="29">
        <v>59</v>
      </c>
      <c r="J113" s="11">
        <v>0</v>
      </c>
      <c r="K113" s="36">
        <f>(Table1[[#This Row],[unsub]]/Table1[[#This Row],[unique-sends]])*100</f>
        <v>0</v>
      </c>
      <c r="L113" s="6">
        <f>Table1[[#This Row],[unique-opens]] / Table1[[#This Row],[unique-sends]] * 100</f>
        <v>64.675324675324674</v>
      </c>
      <c r="M113" s="31">
        <f>Table1[[#This Row],[unique-clicks]] / Table1[[#This Row],[unique-sends]] * 100</f>
        <v>7.662337662337662</v>
      </c>
      <c r="N113" s="37">
        <f>Table1[[#This Row],[unique-clicks]] / Table1[[#This Row],[unique-opens]] * 100</f>
        <v>11.847389558232932</v>
      </c>
      <c r="O113" s="37">
        <f>(MIN(Table1[[#This Row],[unique-opens]]/Table1[[#This Row],[unique-sends]],1)*50
 + MIN(Table1[[#This Row],[unique-clicks]]/Table1[[#This Row],[unique-sends]],1)*50)
 * (1 + MIN(Table1[[#This Row],[unique-clicks]]/Table1[[#This Row],[unique-sends]],1))
 - ((Table1[[#This Row],[unsub]]/Table1[[#This Row],[unique-sends]]*100)*2)</f>
        <v>38.940209141507843</v>
      </c>
      <c r="P113" s="37" t="str">
        <f>IF(Table1[[#This Row],[Engagement Score]]&lt;30,"🔴",IF(Table1[[#This Row],[Engagement Score]]&lt;40,"🟡","🟢"))</f>
        <v>🟡</v>
      </c>
      <c r="Q113" s="10">
        <v>0</v>
      </c>
      <c r="R113" s="10">
        <v>0</v>
      </c>
      <c r="S113" s="10">
        <v>0</v>
      </c>
      <c r="T113" s="88"/>
    </row>
    <row r="114" spans="1:20" ht="32.1" customHeight="1">
      <c r="A114" s="74">
        <v>44</v>
      </c>
      <c r="B114" s="138" t="s">
        <v>38</v>
      </c>
      <c r="C114" s="67">
        <v>45901</v>
      </c>
      <c r="D114" s="20" t="s">
        <v>21</v>
      </c>
      <c r="E114" s="38" t="s">
        <v>22</v>
      </c>
      <c r="F114" s="19" t="s">
        <v>23</v>
      </c>
      <c r="G114" s="9">
        <v>102</v>
      </c>
      <c r="H114" s="25">
        <v>71</v>
      </c>
      <c r="I114" s="29">
        <v>4</v>
      </c>
      <c r="J114" s="11">
        <v>0</v>
      </c>
      <c r="K114" s="36">
        <f>(Table1[[#This Row],[unsub]]/Table1[[#This Row],[unique-sends]])*100</f>
        <v>0</v>
      </c>
      <c r="L114" s="6">
        <f>Table1[[#This Row],[unique-opens]] / Table1[[#This Row],[unique-sends]] * 100</f>
        <v>69.607843137254903</v>
      </c>
      <c r="M114" s="31">
        <f>Table1[[#This Row],[unique-clicks]] / Table1[[#This Row],[unique-sends]] * 100</f>
        <v>3.9215686274509802</v>
      </c>
      <c r="N114" s="37">
        <f>Table1[[#This Row],[unique-clicks]] / Table1[[#This Row],[unique-opens]] * 100</f>
        <v>5.6338028169014089</v>
      </c>
      <c r="O114" s="37">
        <f>(MIN(Table1[[#This Row],[unique-opens]]/Table1[[#This Row],[unique-sends]],1)*50
 + MIN(Table1[[#This Row],[unique-clicks]]/Table1[[#This Row],[unique-sends]],1)*50)
 * (1 + MIN(Table1[[#This Row],[unique-clicks]]/Table1[[#This Row],[unique-sends]],1))
 - ((Table1[[#This Row],[unsub]]/Table1[[#This Row],[unique-sends]]*100)*2)</f>
        <v>38.206459054209922</v>
      </c>
      <c r="P114" s="37" t="str">
        <f>IF(Table1[[#This Row],[Engagement Score]]&lt;30,"🔴",IF(Table1[[#This Row],[Engagement Score]]&lt;40,"🟡","🟢"))</f>
        <v>🟡</v>
      </c>
      <c r="Q114" s="10">
        <v>0</v>
      </c>
      <c r="R114" s="10">
        <v>0</v>
      </c>
      <c r="S114" s="10">
        <v>0</v>
      </c>
      <c r="T114" s="88"/>
    </row>
    <row r="115" spans="1:20" ht="32.1" customHeight="1">
      <c r="A115" s="75">
        <v>45</v>
      </c>
      <c r="B115" s="138" t="s">
        <v>39</v>
      </c>
      <c r="C115" s="67">
        <v>45901</v>
      </c>
      <c r="D115" s="41" t="s">
        <v>28</v>
      </c>
      <c r="E115" s="38" t="s">
        <v>22</v>
      </c>
      <c r="F115" s="19" t="s">
        <v>23</v>
      </c>
      <c r="G115" s="9">
        <v>116</v>
      </c>
      <c r="H115" s="25">
        <v>116</v>
      </c>
      <c r="I115" s="29">
        <v>9</v>
      </c>
      <c r="J115" s="11">
        <v>0</v>
      </c>
      <c r="K115" s="36">
        <f>(Table1[[#This Row],[unsub]]/Table1[[#This Row],[unique-sends]])*100</f>
        <v>0</v>
      </c>
      <c r="L115" s="6">
        <f>Table1[[#This Row],[unique-opens]] / Table1[[#This Row],[unique-sends]] * 100</f>
        <v>100</v>
      </c>
      <c r="M115" s="31">
        <f>Table1[[#This Row],[unique-clicks]] / Table1[[#This Row],[unique-sends]] * 100</f>
        <v>7.7586206896551726</v>
      </c>
      <c r="N115" s="37">
        <f>Table1[[#This Row],[unique-clicks]] / Table1[[#This Row],[unique-opens]] * 100</f>
        <v>7.7586206896551726</v>
      </c>
      <c r="O115" s="37">
        <f>(MIN(Table1[[#This Row],[unique-opens]]/Table1[[#This Row],[unique-sends]],1)*50
 + MIN(Table1[[#This Row],[unique-clicks]]/Table1[[#This Row],[unique-sends]],1)*50)
 * (1 + MIN(Table1[[#This Row],[unique-clicks]]/Table1[[#This Row],[unique-sends]],1))
 - ((Table1[[#This Row],[unsub]]/Table1[[#This Row],[unique-sends]]*100)*2)</f>
        <v>58.059601664684905</v>
      </c>
      <c r="P115" s="37" t="str">
        <f>IF(Table1[[#This Row],[Engagement Score]]&lt;30,"🔴",IF(Table1[[#This Row],[Engagement Score]]&lt;40,"🟡","🟢"))</f>
        <v>🟢</v>
      </c>
      <c r="Q115" s="10">
        <v>0</v>
      </c>
      <c r="R115" s="10">
        <v>0</v>
      </c>
      <c r="S115" s="10">
        <v>0</v>
      </c>
      <c r="T115" s="88"/>
    </row>
    <row r="116" spans="1:20" ht="32.1" customHeight="1">
      <c r="A116" s="74">
        <v>45</v>
      </c>
      <c r="B116" s="136" t="s">
        <v>40</v>
      </c>
      <c r="C116" s="67">
        <v>45901</v>
      </c>
      <c r="D116" s="41" t="s">
        <v>28</v>
      </c>
      <c r="E116" s="38" t="s">
        <v>22</v>
      </c>
      <c r="F116" s="19" t="s">
        <v>23</v>
      </c>
      <c r="G116" s="13">
        <v>54</v>
      </c>
      <c r="H116" s="24">
        <v>47</v>
      </c>
      <c r="I116" s="28">
        <v>6</v>
      </c>
      <c r="J116" s="16">
        <v>0</v>
      </c>
      <c r="K116" s="35">
        <f>(Table1[[#This Row],[unsub]]/Table1[[#This Row],[unique-sends]])*100</f>
        <v>0</v>
      </c>
      <c r="L116" s="44">
        <f>Table1[[#This Row],[unique-opens]] / Table1[[#This Row],[unique-sends]] * 100</f>
        <v>87.037037037037038</v>
      </c>
      <c r="M116" s="45">
        <f>Table1[[#This Row],[unique-clicks]] / Table1[[#This Row],[unique-sends]] * 100</f>
        <v>11.111111111111111</v>
      </c>
      <c r="N116" s="37">
        <f>Table1[[#This Row],[unique-clicks]] / Table1[[#This Row],[unique-opens]] * 100</f>
        <v>12.76595744680851</v>
      </c>
      <c r="O116" s="37">
        <f>(MIN(Table1[[#This Row],[unique-opens]]/Table1[[#This Row],[unique-sends]],1)*50
 + MIN(Table1[[#This Row],[unique-clicks]]/Table1[[#This Row],[unique-sends]],1)*50)
 * (1 + MIN(Table1[[#This Row],[unique-clicks]]/Table1[[#This Row],[unique-sends]],1))
 - ((Table1[[#This Row],[unsub]]/Table1[[#This Row],[unique-sends]]*100)*2)</f>
        <v>54.52674897119342</v>
      </c>
      <c r="P116" s="37" t="str">
        <f>IF(Table1[[#This Row],[Engagement Score]]&lt;30,"🔴",IF(Table1[[#This Row],[Engagement Score]]&lt;40,"🟡","🟢"))</f>
        <v>🟢</v>
      </c>
      <c r="Q116" s="10">
        <v>0</v>
      </c>
      <c r="R116" s="10">
        <v>0</v>
      </c>
      <c r="S116" s="10">
        <v>0</v>
      </c>
      <c r="T116" s="130"/>
    </row>
    <row r="117" spans="1:20" ht="32.1" customHeight="1">
      <c r="A117" s="75">
        <v>46</v>
      </c>
      <c r="B117" s="138" t="s">
        <v>39</v>
      </c>
      <c r="C117" s="68">
        <v>45901</v>
      </c>
      <c r="D117" s="41" t="s">
        <v>21</v>
      </c>
      <c r="E117" s="38" t="s">
        <v>22</v>
      </c>
      <c r="F117" s="19" t="s">
        <v>23</v>
      </c>
      <c r="G117" s="9">
        <v>2805</v>
      </c>
      <c r="H117" s="25">
        <v>2337</v>
      </c>
      <c r="I117" s="29">
        <v>303</v>
      </c>
      <c r="J117" s="11">
        <v>14</v>
      </c>
      <c r="K117" s="36">
        <f>(Table1[[#This Row],[unsub]]/Table1[[#This Row],[unique-sends]])*100</f>
        <v>0.49910873440285208</v>
      </c>
      <c r="L117" s="6">
        <f>Table1[[#This Row],[unique-opens]] / Table1[[#This Row],[unique-sends]] * 100</f>
        <v>83.315508021390372</v>
      </c>
      <c r="M117" s="31">
        <f>Table1[[#This Row],[unique-clicks]] / Table1[[#This Row],[unique-sends]] * 100</f>
        <v>10.802139037433154</v>
      </c>
      <c r="N117" s="37">
        <f>Table1[[#This Row],[unique-clicks]] / Table1[[#This Row],[unique-opens]] * 100</f>
        <v>12.965340179717586</v>
      </c>
      <c r="O117" s="37">
        <f>(MIN(Table1[[#This Row],[unique-opens]]/Table1[[#This Row],[unique-sends]],1)*50
 + MIN(Table1[[#This Row],[unique-clicks]]/Table1[[#This Row],[unique-sends]],1)*50)
 * (1 + MIN(Table1[[#This Row],[unique-clicks]]/Table1[[#This Row],[unique-sends]],1))
 - ((Table1[[#This Row],[unsub]]/Table1[[#This Row],[unique-sends]]*100)*2)</f>
        <v>51.143965607633419</v>
      </c>
      <c r="P117" s="37" t="str">
        <f>IF(Table1[[#This Row],[Engagement Score]]&lt;30,"🔴",IF(Table1[[#This Row],[Engagement Score]]&lt;40,"🟡","🟢"))</f>
        <v>🟢</v>
      </c>
      <c r="Q117" s="10">
        <v>0</v>
      </c>
      <c r="R117" s="10">
        <v>0</v>
      </c>
      <c r="S117" s="10">
        <v>0</v>
      </c>
      <c r="T117" s="88"/>
    </row>
    <row r="118" spans="1:20" ht="32.1" customHeight="1">
      <c r="A118" s="74">
        <v>46</v>
      </c>
      <c r="B118" s="136" t="s">
        <v>40</v>
      </c>
      <c r="C118" s="68">
        <v>45901</v>
      </c>
      <c r="D118" s="41" t="s">
        <v>21</v>
      </c>
      <c r="E118" s="38" t="s">
        <v>22</v>
      </c>
      <c r="F118" s="19" t="s">
        <v>23</v>
      </c>
      <c r="G118" s="13">
        <v>1459</v>
      </c>
      <c r="H118" s="24">
        <v>1060</v>
      </c>
      <c r="I118" s="28">
        <v>169</v>
      </c>
      <c r="J118" s="16">
        <v>3</v>
      </c>
      <c r="K118" s="35">
        <f>(Table1[[#This Row],[unsub]]/Table1[[#This Row],[unique-sends]])*100</f>
        <v>0.205620287868403</v>
      </c>
      <c r="L118" s="44">
        <f>Table1[[#This Row],[unique-opens]] / Table1[[#This Row],[unique-sends]] * 100</f>
        <v>72.652501713502403</v>
      </c>
      <c r="M118" s="45">
        <f>Table1[[#This Row],[unique-clicks]] / Table1[[#This Row],[unique-sends]] * 100</f>
        <v>11.583276216586704</v>
      </c>
      <c r="N118" s="37">
        <f>Table1[[#This Row],[unique-clicks]] / Table1[[#This Row],[unique-opens]] * 100</f>
        <v>15.943396226415093</v>
      </c>
      <c r="O118" s="37">
        <f>(MIN(Table1[[#This Row],[unique-opens]]/Table1[[#This Row],[unique-sends]],1)*50
 + MIN(Table1[[#This Row],[unique-clicks]]/Table1[[#This Row],[unique-sends]],1)*50)
 * (1 + MIN(Table1[[#This Row],[unique-clicks]]/Table1[[#This Row],[unique-sends]],1))
 - ((Table1[[#This Row],[unsub]]/Table1[[#This Row],[unique-sends]]*100)*2)</f>
        <v>46.585279804724152</v>
      </c>
      <c r="P118" s="37" t="str">
        <f>IF(Table1[[#This Row],[Engagement Score]]&lt;30,"🔴",IF(Table1[[#This Row],[Engagement Score]]&lt;40,"🟡","🟢"))</f>
        <v>🟢</v>
      </c>
      <c r="Q118" s="10">
        <v>0</v>
      </c>
      <c r="R118" s="10">
        <v>0</v>
      </c>
      <c r="S118" s="10">
        <v>0</v>
      </c>
      <c r="T118" s="130"/>
    </row>
    <row r="119" spans="1:20" ht="32.1" customHeight="1">
      <c r="A119" s="74">
        <v>47</v>
      </c>
      <c r="B119" s="136" t="s">
        <v>124</v>
      </c>
      <c r="C119" s="67">
        <v>45901</v>
      </c>
      <c r="D119" s="20" t="s">
        <v>21</v>
      </c>
      <c r="E119" s="38" t="s">
        <v>22</v>
      </c>
      <c r="F119" s="19" t="s">
        <v>23</v>
      </c>
      <c r="G119" s="13">
        <v>3289</v>
      </c>
      <c r="H119" s="24">
        <v>2804</v>
      </c>
      <c r="I119" s="28">
        <v>275</v>
      </c>
      <c r="J119" s="16">
        <v>21</v>
      </c>
      <c r="K119" s="35">
        <f>(Table1[[#This Row],[unsub]]/Table1[[#This Row],[unique-sends]])*100</f>
        <v>0.63849194283976896</v>
      </c>
      <c r="L119" s="21">
        <f>Table1[[#This Row],[unique-opens]] / Table1[[#This Row],[unique-sends]] * 100</f>
        <v>85.253876558224391</v>
      </c>
      <c r="M119" s="37">
        <f>Table1[[#This Row],[unique-clicks]] / Table1[[#This Row],[unique-sends]] * 100</f>
        <v>8.3612040133779271</v>
      </c>
      <c r="N119" s="37">
        <f>Table1[[#This Row],[unique-clicks]] / Table1[[#This Row],[unique-opens]] * 100</f>
        <v>9.8074179743223961</v>
      </c>
      <c r="O119" s="37">
        <f>(MIN(Table1[[#This Row],[unique-opens]]/Table1[[#This Row],[unique-sends]],1)*50
 + MIN(Table1[[#This Row],[unique-clicks]]/Table1[[#This Row],[unique-sends]],1)*50)
 * (1 + MIN(Table1[[#This Row],[unique-clicks]]/Table1[[#This Row],[unique-sends]],1))
 - ((Table1[[#This Row],[unsub]]/Table1[[#This Row],[unique-sends]]*100)*2)</f>
        <v>49.444230337061519</v>
      </c>
      <c r="P119" s="37" t="str">
        <f>IF(Table1[[#This Row],[Engagement Score]]&lt;30,"🔴",IF(Table1[[#This Row],[Engagement Score]]&lt;40,"🟡","🟢"))</f>
        <v>🟢</v>
      </c>
      <c r="Q119" s="10">
        <v>0</v>
      </c>
      <c r="R119" s="10">
        <v>0</v>
      </c>
      <c r="S119" s="10">
        <v>0</v>
      </c>
      <c r="T119" s="130"/>
    </row>
    <row r="120" spans="1:20" ht="32.1" customHeight="1">
      <c r="A120" s="74">
        <v>48</v>
      </c>
      <c r="B120" s="136" t="s">
        <v>124</v>
      </c>
      <c r="C120" s="67">
        <v>45901</v>
      </c>
      <c r="D120" s="20" t="s">
        <v>28</v>
      </c>
      <c r="E120" s="38" t="s">
        <v>22</v>
      </c>
      <c r="F120" s="19" t="s">
        <v>23</v>
      </c>
      <c r="G120" s="9">
        <v>173</v>
      </c>
      <c r="H120" s="25">
        <v>127</v>
      </c>
      <c r="I120" s="29">
        <v>8</v>
      </c>
      <c r="J120" s="11">
        <v>2</v>
      </c>
      <c r="K120" s="36">
        <f>(Table1[[#This Row],[unsub]]/Table1[[#This Row],[unique-sends]])*100</f>
        <v>1.1560693641618496</v>
      </c>
      <c r="L120" s="6">
        <f>Table1[[#This Row],[unique-opens]] / Table1[[#This Row],[unique-sends]] * 100</f>
        <v>73.410404624277461</v>
      </c>
      <c r="M120" s="31">
        <f>Table1[[#This Row],[unique-clicks]] / Table1[[#This Row],[unique-sends]] * 100</f>
        <v>4.6242774566473983</v>
      </c>
      <c r="N120" s="37">
        <f>Table1[[#This Row],[unique-clicks]] / Table1[[#This Row],[unique-opens]] * 100</f>
        <v>6.2992125984251963</v>
      </c>
      <c r="O120" s="37">
        <f>(MIN(Table1[[#This Row],[unique-opens]]/Table1[[#This Row],[unique-sends]],1)*50
 + MIN(Table1[[#This Row],[unique-clicks]]/Table1[[#This Row],[unique-sends]],1)*50)
 * (1 + MIN(Table1[[#This Row],[unique-clicks]]/Table1[[#This Row],[unique-sends]],1))
 - ((Table1[[#This Row],[unsub]]/Table1[[#This Row],[unique-sends]]*100)*2)</f>
        <v>38.509472418056063</v>
      </c>
      <c r="P120" s="37" t="str">
        <f>IF(Table1[[#This Row],[Engagement Score]]&lt;30,"🔴",IF(Table1[[#This Row],[Engagement Score]]&lt;40,"🟡","🟢"))</f>
        <v>🟡</v>
      </c>
      <c r="Q120" s="10">
        <v>0</v>
      </c>
      <c r="R120" s="10">
        <v>0</v>
      </c>
      <c r="S120" s="10">
        <v>0</v>
      </c>
      <c r="T120" s="88"/>
    </row>
    <row r="121" spans="1:20" ht="32.1" customHeight="1">
      <c r="A121" s="80">
        <v>49</v>
      </c>
      <c r="B121" s="136" t="s">
        <v>125</v>
      </c>
      <c r="C121" s="67">
        <v>45901</v>
      </c>
      <c r="D121" s="20" t="s">
        <v>28</v>
      </c>
      <c r="E121" s="38" t="s">
        <v>22</v>
      </c>
      <c r="F121" s="19" t="s">
        <v>23</v>
      </c>
      <c r="G121" s="9">
        <v>4096</v>
      </c>
      <c r="H121" s="25">
        <v>2883</v>
      </c>
      <c r="I121" s="29">
        <v>134</v>
      </c>
      <c r="J121" s="11">
        <v>22</v>
      </c>
      <c r="K121" s="36">
        <f>(Table1[[#This Row],[unsub]]/Table1[[#This Row],[unique-sends]])*100</f>
        <v>0.537109375</v>
      </c>
      <c r="L121" s="6">
        <f>Table1[[#This Row],[unique-opens]] / Table1[[#This Row],[unique-sends]] * 100</f>
        <v>70.3857421875</v>
      </c>
      <c r="M121" s="31">
        <f>Table1[[#This Row],[unique-clicks]] / Table1[[#This Row],[unique-sends]] * 100</f>
        <v>3.271484375</v>
      </c>
      <c r="N121" s="37">
        <f>Table1[[#This Row],[unique-clicks]] / Table1[[#This Row],[unique-opens]] * 100</f>
        <v>4.6479361775927854</v>
      </c>
      <c r="O121" s="37">
        <f>(MIN(Table1[[#This Row],[unique-opens]]/Table1[[#This Row],[unique-sends]],1)*50
 + MIN(Table1[[#This Row],[unique-clicks]]/Table1[[#This Row],[unique-sends]],1)*50)
 * (1 + MIN(Table1[[#This Row],[unique-clicks]]/Table1[[#This Row],[unique-sends]],1))
 - ((Table1[[#This Row],[unsub]]/Table1[[#This Row],[unique-sends]]*100)*2)</f>
        <v>36.959236860275269</v>
      </c>
      <c r="P121" s="37" t="str">
        <f>IF(Table1[[#This Row],[Engagement Score]]&lt;30,"🔴",IF(Table1[[#This Row],[Engagement Score]]&lt;40,"🟡","🟢"))</f>
        <v>🟡</v>
      </c>
      <c r="Q121" s="10">
        <v>0</v>
      </c>
      <c r="R121" s="10">
        <v>0</v>
      </c>
      <c r="S121" s="10">
        <v>0</v>
      </c>
      <c r="T121" s="88"/>
    </row>
    <row r="122" spans="1:20" ht="32.1" customHeight="1">
      <c r="A122" s="74">
        <v>50</v>
      </c>
      <c r="B122" s="136" t="s">
        <v>125</v>
      </c>
      <c r="C122" s="67">
        <v>45901</v>
      </c>
      <c r="D122" s="20" t="s">
        <v>21</v>
      </c>
      <c r="E122" s="38" t="s">
        <v>22</v>
      </c>
      <c r="F122" s="19" t="s">
        <v>23</v>
      </c>
      <c r="G122" s="9">
        <v>173</v>
      </c>
      <c r="H122" s="25">
        <v>140</v>
      </c>
      <c r="I122" s="29">
        <v>5</v>
      </c>
      <c r="J122" s="11">
        <v>0</v>
      </c>
      <c r="K122" s="36">
        <f>(Table1[[#This Row],[unsub]]/Table1[[#This Row],[unique-sends]])*100</f>
        <v>0</v>
      </c>
      <c r="L122" s="6">
        <f>Table1[[#This Row],[unique-opens]] / Table1[[#This Row],[unique-sends]] * 100</f>
        <v>80.924855491329481</v>
      </c>
      <c r="M122" s="31">
        <f>Table1[[#This Row],[unique-clicks]] / Table1[[#This Row],[unique-sends]] * 100</f>
        <v>2.8901734104046244</v>
      </c>
      <c r="N122" s="37">
        <f>Table1[[#This Row],[unique-clicks]] / Table1[[#This Row],[unique-opens]] * 100</f>
        <v>3.5714285714285712</v>
      </c>
      <c r="O122" s="37">
        <f>(MIN(Table1[[#This Row],[unique-opens]]/Table1[[#This Row],[unique-sends]],1)*50
 + MIN(Table1[[#This Row],[unique-clicks]]/Table1[[#This Row],[unique-sends]],1)*50)
 * (1 + MIN(Table1[[#This Row],[unique-clicks]]/Table1[[#This Row],[unique-sends]],1))
 - ((Table1[[#This Row],[unsub]]/Table1[[#This Row],[unique-sends]]*100)*2)</f>
        <v>43.118714290487489</v>
      </c>
      <c r="P122" s="37" t="str">
        <f>IF(Table1[[#This Row],[Engagement Score]]&lt;30,"🔴",IF(Table1[[#This Row],[Engagement Score]]&lt;40,"🟡","🟢"))</f>
        <v>🟢</v>
      </c>
      <c r="Q122" s="10">
        <v>0</v>
      </c>
      <c r="R122" s="10">
        <v>0</v>
      </c>
      <c r="S122" s="10">
        <v>0</v>
      </c>
      <c r="T122" s="88"/>
    </row>
    <row r="123" spans="1:20" ht="32.1" customHeight="1">
      <c r="A123" s="74">
        <v>51</v>
      </c>
      <c r="B123" s="136" t="s">
        <v>126</v>
      </c>
      <c r="C123" s="67">
        <v>45901</v>
      </c>
      <c r="D123" s="41" t="s">
        <v>28</v>
      </c>
      <c r="E123" s="38" t="s">
        <v>22</v>
      </c>
      <c r="F123" s="52" t="s">
        <v>23</v>
      </c>
      <c r="G123" s="13">
        <v>48</v>
      </c>
      <c r="H123" s="24">
        <v>36</v>
      </c>
      <c r="I123" s="28">
        <v>2</v>
      </c>
      <c r="J123" s="16">
        <v>0</v>
      </c>
      <c r="K123" s="35">
        <f>(Table1[[#This Row],[unsub]]/Table1[[#This Row],[unique-sends]])*100</f>
        <v>0</v>
      </c>
      <c r="L123" s="44">
        <f>Table1[[#This Row],[unique-opens]] / Table1[[#This Row],[unique-sends]] * 100</f>
        <v>75</v>
      </c>
      <c r="M123" s="45">
        <f>Table1[[#This Row],[unique-clicks]] / Table1[[#This Row],[unique-sends]] * 100</f>
        <v>4.1666666666666661</v>
      </c>
      <c r="N123" s="37">
        <f>Table1[[#This Row],[unique-clicks]] / Table1[[#This Row],[unique-opens]] * 100</f>
        <v>5.5555555555555554</v>
      </c>
      <c r="O123" s="37">
        <f>(MIN(Table1[[#This Row],[unique-opens]]/Table1[[#This Row],[unique-sends]],1)*50
 + MIN(Table1[[#This Row],[unique-clicks]]/Table1[[#This Row],[unique-sends]],1)*50)
 * (1 + MIN(Table1[[#This Row],[unique-clicks]]/Table1[[#This Row],[unique-sends]],1))
 - ((Table1[[#This Row],[unsub]]/Table1[[#This Row],[unique-sends]]*100)*2)</f>
        <v>41.232638888888893</v>
      </c>
      <c r="P123" s="37" t="str">
        <f>IF(Table1[[#This Row],[Engagement Score]]&lt;30,"🔴",IF(Table1[[#This Row],[Engagement Score]]&lt;40,"🟡","🟢"))</f>
        <v>🟢</v>
      </c>
      <c r="Q123" s="10">
        <v>0</v>
      </c>
      <c r="R123" s="11">
        <v>0</v>
      </c>
      <c r="S123" s="11">
        <v>0</v>
      </c>
      <c r="T123" s="130"/>
    </row>
    <row r="124" spans="1:20" ht="32.1" customHeight="1">
      <c r="A124" s="80">
        <v>53</v>
      </c>
      <c r="B124" s="136" t="s">
        <v>127</v>
      </c>
      <c r="C124" s="67">
        <v>45901</v>
      </c>
      <c r="D124" s="20" t="s">
        <v>21</v>
      </c>
      <c r="E124" s="15" t="s">
        <v>22</v>
      </c>
      <c r="F124" s="19" t="s">
        <v>23</v>
      </c>
      <c r="G124" s="13">
        <v>316</v>
      </c>
      <c r="H124" s="24">
        <v>326</v>
      </c>
      <c r="I124" s="28">
        <v>33</v>
      </c>
      <c r="J124" s="16">
        <v>0</v>
      </c>
      <c r="K124" s="35">
        <f>(Table1[[#This Row],[unsub]]/Table1[[#This Row],[unique-sends]])*100</f>
        <v>0</v>
      </c>
      <c r="L124" s="21">
        <f>Table1[[#This Row],[unique-opens]] / Table1[[#This Row],[unique-sends]] * 100</f>
        <v>103.16455696202532</v>
      </c>
      <c r="M124" s="37">
        <f>Table1[[#This Row],[unique-clicks]] / Table1[[#This Row],[unique-sends]] * 100</f>
        <v>10.443037974683545</v>
      </c>
      <c r="N124" s="37">
        <f>Table1[[#This Row],[unique-clicks]] / Table1[[#This Row],[unique-opens]] * 100</f>
        <v>10.122699386503067</v>
      </c>
      <c r="O124" s="37">
        <f>(MIN(Table1[[#This Row],[unique-opens]]/Table1[[#This Row],[unique-sends]],1)*50
 + MIN(Table1[[#This Row],[unique-clicks]]/Table1[[#This Row],[unique-sends]],1)*50)
 * (1 + MIN(Table1[[#This Row],[unique-clicks]]/Table1[[#This Row],[unique-sends]],1))
 - ((Table1[[#This Row],[unsub]]/Table1[[#This Row],[unique-sends]]*100)*2)</f>
        <v>60.988323185386967</v>
      </c>
      <c r="P124" s="37" t="str">
        <f>IF(Table1[[#This Row],[Engagement Score]]&lt;30,"🔴",IF(Table1[[#This Row],[Engagement Score]]&lt;40,"🟡","🟢"))</f>
        <v>🟢</v>
      </c>
      <c r="Q124" s="10">
        <v>0</v>
      </c>
      <c r="R124" s="11">
        <v>0</v>
      </c>
      <c r="S124" s="11">
        <v>0</v>
      </c>
      <c r="T124" s="130"/>
    </row>
    <row r="125" spans="1:20" ht="32.1" customHeight="1">
      <c r="A125" s="80">
        <v>54</v>
      </c>
      <c r="B125" s="136" t="s">
        <v>128</v>
      </c>
      <c r="C125" s="67">
        <v>45901</v>
      </c>
      <c r="D125" s="46" t="s">
        <v>21</v>
      </c>
      <c r="E125" s="47" t="s">
        <v>22</v>
      </c>
      <c r="F125" s="52" t="s">
        <v>23</v>
      </c>
      <c r="G125" s="13">
        <v>2266</v>
      </c>
      <c r="H125" s="24">
        <v>1780</v>
      </c>
      <c r="I125" s="28">
        <v>108</v>
      </c>
      <c r="J125" s="16">
        <v>15</v>
      </c>
      <c r="K125" s="35">
        <f>(Table1[[#This Row],[unsub]]/Table1[[#This Row],[unique-sends]])*100</f>
        <v>0.66195939982347751</v>
      </c>
      <c r="L125" s="21">
        <f>Table1[[#This Row],[unique-opens]] / Table1[[#This Row],[unique-sends]] * 100</f>
        <v>78.552515445719322</v>
      </c>
      <c r="M125" s="37">
        <f>Table1[[#This Row],[unique-clicks]] / Table1[[#This Row],[unique-sends]] * 100</f>
        <v>4.7661076787290382</v>
      </c>
      <c r="N125" s="37">
        <f>Table1[[#This Row],[unique-clicks]] / Table1[[#This Row],[unique-opens]] * 100</f>
        <v>6.0674157303370784</v>
      </c>
      <c r="O125" s="37">
        <f>(MIN(Table1[[#This Row],[unique-opens]]/Table1[[#This Row],[unique-sends]],1)*50
 + MIN(Table1[[#This Row],[unique-clicks]]/Table1[[#This Row],[unique-sends]],1)*50)
 * (1 + MIN(Table1[[#This Row],[unique-clicks]]/Table1[[#This Row],[unique-sends]],1))
 - ((Table1[[#This Row],[unsub]]/Table1[[#This Row],[unique-sends]]*100)*2)</f>
        <v>42.320920409850054</v>
      </c>
      <c r="P125" s="37" t="str">
        <f>IF(Table1[[#This Row],[Engagement Score]]&lt;30,"🔴",IF(Table1[[#This Row],[Engagement Score]]&lt;40,"🟡","🟢"))</f>
        <v>🟢</v>
      </c>
      <c r="Q125" s="10">
        <v>0</v>
      </c>
      <c r="R125" s="11">
        <v>0</v>
      </c>
      <c r="S125" s="11">
        <v>0</v>
      </c>
      <c r="T125" s="130"/>
    </row>
    <row r="126" spans="1:20" ht="32.1" customHeight="1">
      <c r="A126" s="80">
        <v>55</v>
      </c>
      <c r="B126" s="136" t="s">
        <v>129</v>
      </c>
      <c r="C126" s="67">
        <v>45901</v>
      </c>
      <c r="D126" s="41" t="s">
        <v>28</v>
      </c>
      <c r="E126" s="38" t="s">
        <v>22</v>
      </c>
      <c r="F126" s="52" t="s">
        <v>23</v>
      </c>
      <c r="G126" s="9">
        <v>50</v>
      </c>
      <c r="H126" s="25">
        <v>41</v>
      </c>
      <c r="I126" s="29">
        <v>1</v>
      </c>
      <c r="J126" s="11">
        <v>0</v>
      </c>
      <c r="K126" s="36">
        <f>(Table1[[#This Row],[unsub]]/Table1[[#This Row],[unique-sends]])*100</f>
        <v>0</v>
      </c>
      <c r="L126" s="6">
        <f>Table1[[#This Row],[unique-opens]] / Table1[[#This Row],[unique-sends]] * 100</f>
        <v>82</v>
      </c>
      <c r="M126" s="31">
        <f>Table1[[#This Row],[unique-clicks]] / Table1[[#This Row],[unique-sends]] * 100</f>
        <v>2</v>
      </c>
      <c r="N126" s="37">
        <f>Table1[[#This Row],[unique-clicks]] / Table1[[#This Row],[unique-opens]] * 100</f>
        <v>2.4390243902439024</v>
      </c>
      <c r="O126" s="37">
        <f>(MIN(Table1[[#This Row],[unique-opens]]/Table1[[#This Row],[unique-sends]],1)*50
 + MIN(Table1[[#This Row],[unique-clicks]]/Table1[[#This Row],[unique-sends]],1)*50)
 * (1 + MIN(Table1[[#This Row],[unique-clicks]]/Table1[[#This Row],[unique-sends]],1))
 - ((Table1[[#This Row],[unsub]]/Table1[[#This Row],[unique-sends]]*100)*2)</f>
        <v>42.84</v>
      </c>
      <c r="P126" s="37" t="str">
        <f>IF(Table1[[#This Row],[Engagement Score]]&lt;30,"🔴",IF(Table1[[#This Row],[Engagement Score]]&lt;40,"🟡","🟢"))</f>
        <v>🟢</v>
      </c>
      <c r="Q126" s="10">
        <v>0</v>
      </c>
      <c r="R126" s="11">
        <v>0</v>
      </c>
      <c r="S126" s="11">
        <v>0</v>
      </c>
      <c r="T126" s="88"/>
    </row>
    <row r="127" spans="1:20" ht="32.1" customHeight="1">
      <c r="A127" s="80">
        <v>57</v>
      </c>
      <c r="B127" s="138" t="s">
        <v>130</v>
      </c>
      <c r="C127" s="68">
        <v>45901</v>
      </c>
      <c r="D127" s="20" t="s">
        <v>21</v>
      </c>
      <c r="E127" s="20" t="s">
        <v>68</v>
      </c>
      <c r="F127" s="54" t="s">
        <v>26</v>
      </c>
      <c r="G127" s="9">
        <v>13607</v>
      </c>
      <c r="H127" s="25">
        <v>9295</v>
      </c>
      <c r="I127" s="29">
        <v>2450</v>
      </c>
      <c r="J127" s="11">
        <v>2</v>
      </c>
      <c r="K127" s="36">
        <f>(Table1[[#This Row],[unsub]]/Table1[[#This Row],[unique-sends]])*100</f>
        <v>1.4698317042698611E-2</v>
      </c>
      <c r="L127" s="6">
        <f>Table1[[#This Row],[unique-opens]] / Table1[[#This Row],[unique-sends]] * 100</f>
        <v>68.310428455941803</v>
      </c>
      <c r="M127" s="31">
        <f>Table1[[#This Row],[unique-clicks]] / Table1[[#This Row],[unique-sends]] * 100</f>
        <v>18.005438377305801</v>
      </c>
      <c r="N127" s="37">
        <f>Table1[[#This Row],[unique-clicks]] / Table1[[#This Row],[unique-opens]] * 100</f>
        <v>26.358257127487896</v>
      </c>
      <c r="O127" s="37">
        <f>(MIN(Table1[[#This Row],[unique-opens]]/Table1[[#This Row],[unique-sends]],1)*50
 + MIN(Table1[[#This Row],[unique-clicks]]/Table1[[#This Row],[unique-sends]],1)*50)
 * (1 + MIN(Table1[[#This Row],[unique-clicks]]/Table1[[#This Row],[unique-sends]],1))
 - ((Table1[[#This Row],[unsub]]/Table1[[#This Row],[unique-sends]]*100)*2)</f>
        <v>50.899311888787274</v>
      </c>
      <c r="P127" s="37" t="str">
        <f>IF(Table1[[#This Row],[Engagement Score]]&lt;30,"🔴",IF(Table1[[#This Row],[Engagement Score]]&lt;40,"🟡","🟢"))</f>
        <v>🟢</v>
      </c>
      <c r="Q127" s="10">
        <v>76.7</v>
      </c>
      <c r="R127" s="11">
        <v>15.2</v>
      </c>
      <c r="S127" s="11">
        <v>8.1999999999999993</v>
      </c>
      <c r="T127" s="129" t="s">
        <v>131</v>
      </c>
    </row>
    <row r="128" spans="1:20" ht="32.1" customHeight="1">
      <c r="A128" s="80">
        <v>58</v>
      </c>
      <c r="B128" s="136" t="s">
        <v>132</v>
      </c>
      <c r="C128" s="67">
        <v>45901</v>
      </c>
      <c r="D128" s="15" t="s">
        <v>21</v>
      </c>
      <c r="E128" s="15" t="s">
        <v>68</v>
      </c>
      <c r="F128" s="53" t="s">
        <v>26</v>
      </c>
      <c r="G128" s="13">
        <v>1096</v>
      </c>
      <c r="H128" s="24">
        <v>668</v>
      </c>
      <c r="I128" s="28">
        <v>119</v>
      </c>
      <c r="J128" s="16">
        <v>0</v>
      </c>
      <c r="K128" s="35">
        <f>(Table1[[#This Row],[unsub]]/Table1[[#This Row],[unique-sends]])*100</f>
        <v>0</v>
      </c>
      <c r="L128" s="44">
        <f>Table1[[#This Row],[unique-opens]] / Table1[[#This Row],[unique-sends]] * 100</f>
        <v>60.948905109489047</v>
      </c>
      <c r="M128" s="45">
        <f>Table1[[#This Row],[unique-clicks]] / Table1[[#This Row],[unique-sends]] * 100</f>
        <v>10.857664233576642</v>
      </c>
      <c r="N128" s="37">
        <f>Table1[[#This Row],[unique-clicks]] / Table1[[#This Row],[unique-opens]] * 100</f>
        <v>17.814371257485028</v>
      </c>
      <c r="O128" s="37">
        <f>(MIN(Table1[[#This Row],[unique-opens]]/Table1[[#This Row],[unique-sends]],1)*50
 + MIN(Table1[[#This Row],[unique-clicks]]/Table1[[#This Row],[unique-sends]],1)*50)
 * (1 + MIN(Table1[[#This Row],[unique-clicks]]/Table1[[#This Row],[unique-sends]],1))
 - ((Table1[[#This Row],[unsub]]/Table1[[#This Row],[unique-sends]]*100)*2)</f>
        <v>39.80154276999307</v>
      </c>
      <c r="P128" s="37" t="str">
        <f>IF(Table1[[#This Row],[Engagement Score]]&lt;30,"🔴",IF(Table1[[#This Row],[Engagement Score]]&lt;40,"🟡","🟢"))</f>
        <v>🟡</v>
      </c>
      <c r="Q128" s="10">
        <v>72.7</v>
      </c>
      <c r="R128" s="11">
        <v>18.2</v>
      </c>
      <c r="S128" s="11">
        <v>9.1</v>
      </c>
      <c r="T128" s="131" t="s">
        <v>133</v>
      </c>
    </row>
    <row r="129" spans="1:20" ht="32.1" customHeight="1">
      <c r="A129" s="80">
        <v>30</v>
      </c>
      <c r="B129" s="138" t="s">
        <v>134</v>
      </c>
      <c r="C129" s="68">
        <v>45902</v>
      </c>
      <c r="D129" s="20" t="s">
        <v>21</v>
      </c>
      <c r="E129" s="20" t="s">
        <v>25</v>
      </c>
      <c r="F129" s="54" t="s">
        <v>26</v>
      </c>
      <c r="G129" s="9">
        <v>2169</v>
      </c>
      <c r="H129" s="25">
        <v>1239</v>
      </c>
      <c r="I129" s="29">
        <v>32</v>
      </c>
      <c r="J129" s="11">
        <v>1</v>
      </c>
      <c r="K129" s="36">
        <f>(Table1[[#This Row],[unsub]]/Table1[[#This Row],[unique-sends]])*100</f>
        <v>4.6104195481788839E-2</v>
      </c>
      <c r="L129" s="6">
        <f>Table1[[#This Row],[unique-opens]] / Table1[[#This Row],[unique-sends]] * 100</f>
        <v>57.123098201936372</v>
      </c>
      <c r="M129" s="31">
        <f>Table1[[#This Row],[unique-clicks]] / Table1[[#This Row],[unique-sends]] * 100</f>
        <v>1.4753342554172428</v>
      </c>
      <c r="N129" s="37">
        <f>Table1[[#This Row],[unique-clicks]] / Table1[[#This Row],[unique-opens]] * 100</f>
        <v>2.5827280064568199</v>
      </c>
      <c r="O129" s="37">
        <f>(MIN(Table1[[#This Row],[unique-opens]]/Table1[[#This Row],[unique-sends]],1)*50
 + MIN(Table1[[#This Row],[unique-clicks]]/Table1[[#This Row],[unique-sends]],1)*50)
 * (1 + MIN(Table1[[#This Row],[unique-clicks]]/Table1[[#This Row],[unique-sends]],1))
 - ((Table1[[#This Row],[unsub]]/Table1[[#This Row],[unique-sends]]*100)*2)</f>
        <v>29.639269211303667</v>
      </c>
      <c r="P129" s="37" t="str">
        <f>IF(Table1[[#This Row],[Engagement Score]]&lt;30,"🔴",IF(Table1[[#This Row],[Engagement Score]]&lt;40,"🟡","🟢"))</f>
        <v>🔴</v>
      </c>
      <c r="Q129" s="10">
        <v>74.599999999999994</v>
      </c>
      <c r="R129" s="11">
        <v>15.6</v>
      </c>
      <c r="S129" s="11">
        <v>9.8000000000000007</v>
      </c>
      <c r="T129" s="129" t="s">
        <v>89</v>
      </c>
    </row>
    <row r="130" spans="1:20" ht="32.1" customHeight="1">
      <c r="A130" s="80">
        <v>31</v>
      </c>
      <c r="B130" s="136" t="s">
        <v>135</v>
      </c>
      <c r="C130" s="67">
        <v>45902</v>
      </c>
      <c r="D130" s="15" t="s">
        <v>28</v>
      </c>
      <c r="E130" s="15" t="s">
        <v>25</v>
      </c>
      <c r="F130" s="53" t="s">
        <v>26</v>
      </c>
      <c r="G130" s="13">
        <v>6210</v>
      </c>
      <c r="H130" s="24">
        <v>2345</v>
      </c>
      <c r="I130" s="28">
        <v>37</v>
      </c>
      <c r="J130" s="16">
        <v>1</v>
      </c>
      <c r="K130" s="35">
        <f>(Table1[[#This Row],[unsub]]/Table1[[#This Row],[unique-sends]])*100</f>
        <v>1.6103059581320453E-2</v>
      </c>
      <c r="L130" s="44">
        <f>Table1[[#This Row],[unique-opens]] / Table1[[#This Row],[unique-sends]] * 100</f>
        <v>37.76167471819646</v>
      </c>
      <c r="M130" s="45">
        <f>Table1[[#This Row],[unique-clicks]] / Table1[[#This Row],[unique-sends]] * 100</f>
        <v>0.59581320450885666</v>
      </c>
      <c r="N130" s="37">
        <f>Table1[[#This Row],[unique-clicks]] / Table1[[#This Row],[unique-opens]] * 100</f>
        <v>1.5778251599147122</v>
      </c>
      <c r="O130" s="37">
        <f>(MIN(Table1[[#This Row],[unique-opens]]/Table1[[#This Row],[unique-sends]],1)*50
 + MIN(Table1[[#This Row],[unique-clicks]]/Table1[[#This Row],[unique-sends]],1)*50)
 * (1 + MIN(Table1[[#This Row],[unique-clicks]]/Table1[[#This Row],[unique-sends]],1))
 - ((Table1[[#This Row],[unsub]]/Table1[[#This Row],[unique-sends]]*100)*2)</f>
        <v>19.260807331170703</v>
      </c>
      <c r="P130" s="37" t="str">
        <f>IF(Table1[[#This Row],[Engagement Score]]&lt;30,"🔴",IF(Table1[[#This Row],[Engagement Score]]&lt;40,"🟡","🟢"))</f>
        <v>🔴</v>
      </c>
      <c r="Q130" s="10">
        <v>66.7</v>
      </c>
      <c r="R130" s="11">
        <v>17.600000000000001</v>
      </c>
      <c r="S130" s="11">
        <v>15.7</v>
      </c>
      <c r="T130" s="131" t="s">
        <v>136</v>
      </c>
    </row>
    <row r="131" spans="1:20" ht="32.1" customHeight="1">
      <c r="A131" s="80">
        <v>65</v>
      </c>
      <c r="B131" s="136" t="s">
        <v>137</v>
      </c>
      <c r="C131" s="67">
        <v>45902</v>
      </c>
      <c r="D131" s="20" t="s">
        <v>28</v>
      </c>
      <c r="E131" s="15" t="s">
        <v>68</v>
      </c>
      <c r="F131" s="19" t="s">
        <v>26</v>
      </c>
      <c r="G131" s="13">
        <v>1070</v>
      </c>
      <c r="H131" s="24">
        <v>627</v>
      </c>
      <c r="I131" s="28">
        <v>58</v>
      </c>
      <c r="J131" s="16">
        <v>0</v>
      </c>
      <c r="K131" s="35">
        <f>(Table1[[#This Row],[unsub]]/Table1[[#This Row],[unique-sends]])*100</f>
        <v>0</v>
      </c>
      <c r="L131" s="21">
        <f>Table1[[#This Row],[unique-opens]] / Table1[[#This Row],[unique-sends]] * 100</f>
        <v>58.598130841121495</v>
      </c>
      <c r="M131" s="37">
        <f>Table1[[#This Row],[unique-clicks]] / Table1[[#This Row],[unique-sends]] * 100</f>
        <v>5.4205607476635516</v>
      </c>
      <c r="N131" s="37">
        <f>Table1[[#This Row],[unique-clicks]] / Table1[[#This Row],[unique-opens]] * 100</f>
        <v>9.2503987240829346</v>
      </c>
      <c r="O131" s="37">
        <f>(MIN(Table1[[#This Row],[unique-opens]]/Table1[[#This Row],[unique-sends]],1)*50
 + MIN(Table1[[#This Row],[unique-clicks]]/Table1[[#This Row],[unique-sends]],1)*50)
 * (1 + MIN(Table1[[#This Row],[unique-clicks]]/Table1[[#This Row],[unique-sends]],1))
 - ((Table1[[#This Row],[unsub]]/Table1[[#This Row],[unique-sends]]*100)*2)</f>
        <v>33.74443182810726</v>
      </c>
      <c r="P131" s="37" t="str">
        <f>IF(Table1[[#This Row],[Engagement Score]]&lt;30,"🔴",IF(Table1[[#This Row],[Engagement Score]]&lt;40,"🟡","🟢"))</f>
        <v>🟡</v>
      </c>
      <c r="Q131" s="10">
        <v>66.5</v>
      </c>
      <c r="R131" s="11">
        <v>18.100000000000001</v>
      </c>
      <c r="S131" s="11">
        <v>15.4</v>
      </c>
      <c r="T131" s="131" t="s">
        <v>138</v>
      </c>
    </row>
    <row r="132" spans="1:20" ht="32.1" customHeight="1">
      <c r="A132" s="80">
        <v>30</v>
      </c>
      <c r="B132" s="136" t="s">
        <v>139</v>
      </c>
      <c r="C132" s="67">
        <v>45903</v>
      </c>
      <c r="D132" s="20" t="s">
        <v>28</v>
      </c>
      <c r="E132" s="15" t="s">
        <v>25</v>
      </c>
      <c r="F132" s="19" t="s">
        <v>26</v>
      </c>
      <c r="G132" s="9">
        <v>962</v>
      </c>
      <c r="H132" s="25">
        <v>585</v>
      </c>
      <c r="I132" s="29">
        <v>33</v>
      </c>
      <c r="J132" s="11">
        <v>0</v>
      </c>
      <c r="K132" s="36">
        <f>(Table1[[#This Row],[unsub]]/Table1[[#This Row],[unique-sends]])*100</f>
        <v>0</v>
      </c>
      <c r="L132" s="6">
        <f>Table1[[#This Row],[unique-opens]] / Table1[[#This Row],[unique-sends]] * 100</f>
        <v>60.810810810810814</v>
      </c>
      <c r="M132" s="31">
        <f>Table1[[#This Row],[unique-clicks]] / Table1[[#This Row],[unique-sends]] * 100</f>
        <v>3.4303534303534304</v>
      </c>
      <c r="N132" s="37">
        <f>Table1[[#This Row],[unique-clicks]] / Table1[[#This Row],[unique-opens]] * 100</f>
        <v>5.6410256410256414</v>
      </c>
      <c r="O132" s="37">
        <f>(MIN(Table1[[#This Row],[unique-opens]]/Table1[[#This Row],[unique-sends]],1)*50
 + MIN(Table1[[#This Row],[unique-clicks]]/Table1[[#This Row],[unique-sends]],1)*50)
 * (1 + MIN(Table1[[#This Row],[unique-clicks]]/Table1[[#This Row],[unique-sends]],1))
 - ((Table1[[#This Row],[unsub]]/Table1[[#This Row],[unique-sends]]*100)*2)</f>
        <v>33.222431611204996</v>
      </c>
      <c r="P132" s="37" t="str">
        <f>IF(Table1[[#This Row],[Engagement Score]]&lt;30,"🔴",IF(Table1[[#This Row],[Engagement Score]]&lt;40,"🟡","🟢"))</f>
        <v>🟡</v>
      </c>
      <c r="Q132" s="10">
        <v>69</v>
      </c>
      <c r="R132" s="11">
        <v>15.5</v>
      </c>
      <c r="S132" s="11">
        <v>15.5</v>
      </c>
      <c r="T132" s="129" t="s">
        <v>140</v>
      </c>
    </row>
    <row r="133" spans="1:20" ht="32.1" customHeight="1">
      <c r="A133" s="80">
        <v>30</v>
      </c>
      <c r="B133" s="136" t="s">
        <v>139</v>
      </c>
      <c r="C133" s="68">
        <v>45903</v>
      </c>
      <c r="D133" s="41" t="s">
        <v>21</v>
      </c>
      <c r="E133" s="20" t="s">
        <v>25</v>
      </c>
      <c r="F133" s="54" t="s">
        <v>26</v>
      </c>
      <c r="G133" s="9">
        <v>12709</v>
      </c>
      <c r="H133" s="25">
        <v>7160</v>
      </c>
      <c r="I133" s="29">
        <v>433</v>
      </c>
      <c r="J133" s="11">
        <v>18</v>
      </c>
      <c r="K133" s="36">
        <f>(Table1[[#This Row],[unsub]]/Table1[[#This Row],[unique-sends]])*100</f>
        <v>0.14163191439137618</v>
      </c>
      <c r="L133" s="6">
        <f>Table1[[#This Row],[unique-opens]] / Table1[[#This Row],[unique-sends]] * 100</f>
        <v>56.338028169014088</v>
      </c>
      <c r="M133" s="31">
        <f>Table1[[#This Row],[unique-clicks]] / Table1[[#This Row],[unique-sends]] * 100</f>
        <v>3.4070343850814382</v>
      </c>
      <c r="N133" s="37">
        <f>Table1[[#This Row],[unique-clicks]] / Table1[[#This Row],[unique-opens]] * 100</f>
        <v>6.0474860335195526</v>
      </c>
      <c r="O133" s="37">
        <f>(MIN(Table1[[#This Row],[unique-opens]]/Table1[[#This Row],[unique-sends]],1)*50
 + MIN(Table1[[#This Row],[unique-clicks]]/Table1[[#This Row],[unique-sends]],1)*50)
 * (1 + MIN(Table1[[#This Row],[unique-clicks]]/Table1[[#This Row],[unique-sends]],1))
 - ((Table1[[#This Row],[unsub]]/Table1[[#This Row],[unique-sends]]*100)*2)</f>
        <v>30.607034860568234</v>
      </c>
      <c r="P133" s="37" t="str">
        <f>IF(Table1[[#This Row],[Engagement Score]]&lt;30,"🔴",IF(Table1[[#This Row],[Engagement Score]]&lt;40,"🟡","🟢"))</f>
        <v>🟡</v>
      </c>
      <c r="Q133" s="10">
        <v>69.8</v>
      </c>
      <c r="R133" s="11">
        <v>17.100000000000001</v>
      </c>
      <c r="S133" s="11">
        <v>13.1</v>
      </c>
      <c r="T133" s="129" t="s">
        <v>141</v>
      </c>
    </row>
    <row r="134" spans="1:20" ht="32.1" customHeight="1">
      <c r="A134" s="80">
        <v>56</v>
      </c>
      <c r="B134" s="136" t="s">
        <v>142</v>
      </c>
      <c r="C134" s="67">
        <v>45904</v>
      </c>
      <c r="D134" s="15" t="s">
        <v>21</v>
      </c>
      <c r="E134" s="15" t="s">
        <v>68</v>
      </c>
      <c r="F134" s="53" t="s">
        <v>26</v>
      </c>
      <c r="G134" s="9">
        <v>116700</v>
      </c>
      <c r="H134" s="25">
        <v>72900</v>
      </c>
      <c r="I134" s="29">
        <v>7638</v>
      </c>
      <c r="J134" s="11">
        <v>126</v>
      </c>
      <c r="K134" s="36">
        <f>(Table1[[#This Row],[unsub]]/Table1[[#This Row],[unique-sends]])*100</f>
        <v>0.10796915167095116</v>
      </c>
      <c r="L134" s="39">
        <f>Table1[[#This Row],[unique-opens]] / Table1[[#This Row],[unique-sends]] * 100</f>
        <v>62.467866323907451</v>
      </c>
      <c r="M134" s="40">
        <f>Table1[[#This Row],[unique-clicks]] / Table1[[#This Row],[unique-sends]] * 100</f>
        <v>6.5449871465295626</v>
      </c>
      <c r="N134" s="37">
        <f>Table1[[#This Row],[unique-clicks]] / Table1[[#This Row],[unique-opens]] * 100</f>
        <v>10.477366255144032</v>
      </c>
      <c r="O134" s="37">
        <f>(MIN(Table1[[#This Row],[unique-opens]]/Table1[[#This Row],[unique-sends]],1)*50
 + MIN(Table1[[#This Row],[unique-clicks]]/Table1[[#This Row],[unique-sends]],1)*50)
 * (1 + MIN(Table1[[#This Row],[unique-clicks]]/Table1[[#This Row],[unique-sends]],1))
 - ((Table1[[#This Row],[unsub]]/Table1[[#This Row],[unique-sends]]*100)*2)</f>
        <v>36.548929626423295</v>
      </c>
      <c r="P134" s="37" t="str">
        <f>IF(Table1[[#This Row],[Engagement Score]]&lt;30,"🔴",IF(Table1[[#This Row],[Engagement Score]]&lt;40,"🟡","🟢"))</f>
        <v>🟡</v>
      </c>
      <c r="Q134" s="10">
        <v>72.8</v>
      </c>
      <c r="R134" s="11">
        <v>16.899999999999999</v>
      </c>
      <c r="S134" s="11">
        <v>10.3</v>
      </c>
      <c r="T134" s="129" t="s">
        <v>143</v>
      </c>
    </row>
    <row r="135" spans="1:20" ht="32.1" customHeight="1">
      <c r="A135" s="80">
        <v>59</v>
      </c>
      <c r="B135" s="136" t="s">
        <v>144</v>
      </c>
      <c r="C135" s="68">
        <v>45904</v>
      </c>
      <c r="D135" s="20" t="s">
        <v>21</v>
      </c>
      <c r="E135" s="20" t="s">
        <v>68</v>
      </c>
      <c r="F135" s="54" t="s">
        <v>26</v>
      </c>
      <c r="G135" s="9">
        <v>112606</v>
      </c>
      <c r="H135" s="25">
        <v>72960</v>
      </c>
      <c r="I135" s="29">
        <v>879</v>
      </c>
      <c r="J135" s="11">
        <v>230</v>
      </c>
      <c r="K135" s="36">
        <f>(Table1[[#This Row],[unsub]]/Table1[[#This Row],[unique-sends]])*100</f>
        <v>0.2042519936770687</v>
      </c>
      <c r="L135" s="39">
        <f>Table1[[#This Row],[unique-opens]] / Table1[[#This Row],[unique-sends]] * 100</f>
        <v>64.792284602951895</v>
      </c>
      <c r="M135" s="40">
        <f>Table1[[#This Row],[unique-clicks]] / Table1[[#This Row],[unique-sends]] * 100</f>
        <v>0.78059783670497129</v>
      </c>
      <c r="N135" s="37">
        <f>Table1[[#This Row],[unique-clicks]] / Table1[[#This Row],[unique-opens]] * 100</f>
        <v>1.2047697368421051</v>
      </c>
      <c r="O135" s="37">
        <f>(MIN(Table1[[#This Row],[unique-opens]]/Table1[[#This Row],[unique-sends]],1)*50
 + MIN(Table1[[#This Row],[unique-clicks]]/Table1[[#This Row],[unique-sends]],1)*50)
 * (1 + MIN(Table1[[#This Row],[unique-clicks]]/Table1[[#This Row],[unique-sends]],1))
 - ((Table1[[#This Row],[unsub]]/Table1[[#This Row],[unique-sends]]*100)*2)</f>
        <v>32.633867483368824</v>
      </c>
      <c r="P135" s="37" t="str">
        <f>IF(Table1[[#This Row],[Engagement Score]]&lt;30,"🔴",IF(Table1[[#This Row],[Engagement Score]]&lt;40,"🟡","🟢"))</f>
        <v>🟡</v>
      </c>
      <c r="Q135" s="10">
        <v>63.2</v>
      </c>
      <c r="R135" s="11">
        <v>15.4</v>
      </c>
      <c r="S135" s="11">
        <v>21.4</v>
      </c>
      <c r="T135" s="129" t="s">
        <v>145</v>
      </c>
    </row>
    <row r="136" spans="1:20" ht="32.1" customHeight="1">
      <c r="A136" s="80">
        <v>60</v>
      </c>
      <c r="B136" s="136" t="s">
        <v>146</v>
      </c>
      <c r="C136" s="67">
        <v>45904</v>
      </c>
      <c r="D136" s="15" t="s">
        <v>21</v>
      </c>
      <c r="E136" s="15" t="s">
        <v>68</v>
      </c>
      <c r="F136" s="53" t="s">
        <v>26</v>
      </c>
      <c r="G136" s="9">
        <v>165769</v>
      </c>
      <c r="H136" s="25">
        <v>95579</v>
      </c>
      <c r="I136" s="29">
        <v>4168</v>
      </c>
      <c r="J136" s="11">
        <v>394</v>
      </c>
      <c r="K136" s="36">
        <f>(Table1[[#This Row],[unsub]]/Table1[[#This Row],[unique-sends]])*100</f>
        <v>0.23768014526238321</v>
      </c>
      <c r="L136" s="39">
        <f>Table1[[#This Row],[unique-opens]] / Table1[[#This Row],[unique-sends]] * 100</f>
        <v>57.657945695516041</v>
      </c>
      <c r="M136" s="40">
        <f>Table1[[#This Row],[unique-clicks]] / Table1[[#This Row],[unique-sends]] * 100</f>
        <v>2.5143422473441959</v>
      </c>
      <c r="N136" s="37">
        <f>Table1[[#This Row],[unique-clicks]] / Table1[[#This Row],[unique-opens]] * 100</f>
        <v>4.3607905502254676</v>
      </c>
      <c r="O136" s="37">
        <f>(MIN(Table1[[#This Row],[unique-opens]]/Table1[[#This Row],[unique-sends]],1)*50
 + MIN(Table1[[#This Row],[unique-clicks]]/Table1[[#This Row],[unique-sends]],1)*50)
 * (1 + MIN(Table1[[#This Row],[unique-clicks]]/Table1[[#This Row],[unique-sends]],1))
 - ((Table1[[#This Row],[unsub]]/Table1[[#This Row],[unique-sends]]*100)*2)</f>
        <v>30.367252309375818</v>
      </c>
      <c r="P136" s="37" t="str">
        <f>IF(Table1[[#This Row],[Engagement Score]]&lt;30,"🔴",IF(Table1[[#This Row],[Engagement Score]]&lt;40,"🟡","🟢"))</f>
        <v>🟡</v>
      </c>
      <c r="Q136" s="10">
        <v>75.099999999999994</v>
      </c>
      <c r="R136" s="11">
        <v>15.8</v>
      </c>
      <c r="S136" s="11">
        <v>9.1</v>
      </c>
      <c r="T136" s="129" t="s">
        <v>147</v>
      </c>
    </row>
    <row r="137" spans="1:20" ht="32.1" customHeight="1">
      <c r="A137" s="80">
        <v>78</v>
      </c>
      <c r="B137" s="136" t="s">
        <v>148</v>
      </c>
      <c r="C137" s="68">
        <v>45905</v>
      </c>
      <c r="D137" s="20" t="s">
        <v>21</v>
      </c>
      <c r="E137" s="20" t="s">
        <v>97</v>
      </c>
      <c r="F137" s="54" t="s">
        <v>26</v>
      </c>
      <c r="G137" s="13">
        <v>28839</v>
      </c>
      <c r="H137" s="24">
        <v>11740</v>
      </c>
      <c r="I137" s="28">
        <v>532</v>
      </c>
      <c r="J137" s="16">
        <v>46</v>
      </c>
      <c r="K137" s="35">
        <f>(Table1[[#This Row],[unsub]]/Table1[[#This Row],[unique-sends]])*100</f>
        <v>0.1595062242102708</v>
      </c>
      <c r="L137" s="21">
        <f>Table1[[#This Row],[unique-opens]] / Table1[[#This Row],[unique-sends]] * 100</f>
        <v>40.70876243975173</v>
      </c>
      <c r="M137" s="37">
        <f>Table1[[#This Row],[unique-clicks]] / Table1[[#This Row],[unique-sends]] * 100</f>
        <v>1.8447241582579148</v>
      </c>
      <c r="N137" s="37">
        <f>Table1[[#This Row],[unique-clicks]] / Table1[[#This Row],[unique-opens]] * 100</f>
        <v>4.5315161839863709</v>
      </c>
      <c r="O137" s="37">
        <f>(MIN(Table1[[#This Row],[unique-opens]]/Table1[[#This Row],[unique-sends]],1)*50
 + MIN(Table1[[#This Row],[unique-clicks]]/Table1[[#This Row],[unique-sends]],1)*50)
 * (1 + MIN(Table1[[#This Row],[unique-clicks]]/Table1[[#This Row],[unique-sends]],1))
 - ((Table1[[#This Row],[unsub]]/Table1[[#This Row],[unique-sends]]*100)*2)</f>
        <v>21.350228074311548</v>
      </c>
      <c r="P137" s="37" t="str">
        <f>IF(Table1[[#This Row],[Engagement Score]]&lt;30,"🔴",IF(Table1[[#This Row],[Engagement Score]]&lt;40,"🟡","🟢"))</f>
        <v>🔴</v>
      </c>
      <c r="Q137" s="10">
        <v>66.599999999999994</v>
      </c>
      <c r="R137" s="11">
        <v>20.2</v>
      </c>
      <c r="S137" s="11">
        <v>13.2</v>
      </c>
      <c r="T137" s="131" t="s">
        <v>149</v>
      </c>
    </row>
    <row r="138" spans="1:20" ht="32.1" customHeight="1">
      <c r="A138" s="80">
        <v>56</v>
      </c>
      <c r="B138" s="136" t="s">
        <v>150</v>
      </c>
      <c r="C138" s="68">
        <v>45908</v>
      </c>
      <c r="D138" s="20" t="s">
        <v>21</v>
      </c>
      <c r="E138" s="20" t="s">
        <v>68</v>
      </c>
      <c r="F138" s="54" t="s">
        <v>26</v>
      </c>
      <c r="G138" s="13">
        <v>38965</v>
      </c>
      <c r="H138" s="24">
        <v>19179</v>
      </c>
      <c r="I138" s="28">
        <v>2172</v>
      </c>
      <c r="J138" s="16">
        <v>0</v>
      </c>
      <c r="K138" s="35">
        <f>(Table1[[#This Row],[unsub]]/Table1[[#This Row],[unique-sends]])*100</f>
        <v>0</v>
      </c>
      <c r="L138" s="21">
        <f>Table1[[#This Row],[unique-opens]] / Table1[[#This Row],[unique-sends]] * 100</f>
        <v>49.221095855254717</v>
      </c>
      <c r="M138" s="37">
        <f>Table1[[#This Row],[unique-clicks]] / Table1[[#This Row],[unique-sends]] * 100</f>
        <v>5.5742332862825617</v>
      </c>
      <c r="N138" s="37">
        <f>Table1[[#This Row],[unique-clicks]] / Table1[[#This Row],[unique-opens]] * 100</f>
        <v>11.324886594712966</v>
      </c>
      <c r="O138" s="37">
        <f>(MIN(Table1[[#This Row],[unique-opens]]/Table1[[#This Row],[unique-sends]],1)*50
 + MIN(Table1[[#This Row],[unique-clicks]]/Table1[[#This Row],[unique-sends]],1)*50)
 * (1 + MIN(Table1[[#This Row],[unique-clicks]]/Table1[[#This Row],[unique-sends]],1))
 - ((Table1[[#This Row],[unsub]]/Table1[[#This Row],[unique-sends]]*100)*2)</f>
        <v>28.924874308936474</v>
      </c>
      <c r="P138" s="37" t="str">
        <f>IF(Table1[[#This Row],[Engagement Score]]&lt;30,"🔴",IF(Table1[[#This Row],[Engagement Score]]&lt;40,"🟡","🟢"))</f>
        <v>🔴</v>
      </c>
      <c r="Q138" s="10">
        <v>72.8</v>
      </c>
      <c r="R138" s="11">
        <v>16.899999999999999</v>
      </c>
      <c r="S138" s="11">
        <v>10.3</v>
      </c>
      <c r="T138" s="131" t="s">
        <v>143</v>
      </c>
    </row>
    <row r="139" spans="1:20" ht="32.1" customHeight="1">
      <c r="A139" s="80">
        <v>59</v>
      </c>
      <c r="B139" s="136" t="s">
        <v>151</v>
      </c>
      <c r="C139" s="68">
        <v>45908</v>
      </c>
      <c r="D139" s="20" t="s">
        <v>21</v>
      </c>
      <c r="E139" s="20" t="s">
        <v>68</v>
      </c>
      <c r="F139" s="54" t="s">
        <v>26</v>
      </c>
      <c r="G139" s="13">
        <v>35855</v>
      </c>
      <c r="H139" s="24">
        <v>13299</v>
      </c>
      <c r="I139" s="28">
        <v>208</v>
      </c>
      <c r="J139" s="16">
        <v>0</v>
      </c>
      <c r="K139" s="35">
        <f>(Table1[[#This Row],[unsub]]/Table1[[#This Row],[unique-sends]])*100</f>
        <v>0</v>
      </c>
      <c r="L139" s="21">
        <f>Table1[[#This Row],[unique-opens]] / Table1[[#This Row],[unique-sends]] * 100</f>
        <v>37.09106121879794</v>
      </c>
      <c r="M139" s="37">
        <f>Table1[[#This Row],[unique-clicks]] / Table1[[#This Row],[unique-sends]] * 100</f>
        <v>0.58011434946311535</v>
      </c>
      <c r="N139" s="37">
        <f>Table1[[#This Row],[unique-clicks]] / Table1[[#This Row],[unique-opens]] * 100</f>
        <v>1.5640273704789833</v>
      </c>
      <c r="O139" s="37">
        <f>(MIN(Table1[[#This Row],[unique-opens]]/Table1[[#This Row],[unique-sends]],1)*50
 + MIN(Table1[[#This Row],[unique-clicks]]/Table1[[#This Row],[unique-sends]],1)*50)
 * (1 + MIN(Table1[[#This Row],[unique-clicks]]/Table1[[#This Row],[unique-sends]],1))
 - ((Table1[[#This Row],[unsub]]/Table1[[#This Row],[unique-sends]]*100)*2)</f>
        <v>18.944855731671993</v>
      </c>
      <c r="P139" s="37" t="str">
        <f>IF(Table1[[#This Row],[Engagement Score]]&lt;30,"🔴",IF(Table1[[#This Row],[Engagement Score]]&lt;40,"🟡","🟢"))</f>
        <v>🔴</v>
      </c>
      <c r="Q139" s="10">
        <v>63.2</v>
      </c>
      <c r="R139" s="11">
        <v>15.4</v>
      </c>
      <c r="S139" s="11">
        <v>21.4</v>
      </c>
      <c r="T139" s="131" t="s">
        <v>145</v>
      </c>
    </row>
    <row r="140" spans="1:20" ht="32.1" customHeight="1">
      <c r="A140" s="80">
        <v>60</v>
      </c>
      <c r="B140" s="136" t="s">
        <v>152</v>
      </c>
      <c r="C140" s="68">
        <v>45908</v>
      </c>
      <c r="D140" s="20" t="s">
        <v>21</v>
      </c>
      <c r="E140" s="20" t="s">
        <v>68</v>
      </c>
      <c r="F140" s="54" t="s">
        <v>26</v>
      </c>
      <c r="G140" s="13">
        <v>104946</v>
      </c>
      <c r="H140" s="24">
        <v>42484</v>
      </c>
      <c r="I140" s="28">
        <v>1687</v>
      </c>
      <c r="J140" s="16">
        <v>0</v>
      </c>
      <c r="K140" s="35">
        <f>(Table1[[#This Row],[unsub]]/Table1[[#This Row],[unique-sends]])*100</f>
        <v>0</v>
      </c>
      <c r="L140" s="21">
        <f>Table1[[#This Row],[unique-opens]] / Table1[[#This Row],[unique-sends]] * 100</f>
        <v>40.481771577763801</v>
      </c>
      <c r="M140" s="37">
        <f>Table1[[#This Row],[unique-clicks]] / Table1[[#This Row],[unique-sends]] * 100</f>
        <v>1.6074933775465476</v>
      </c>
      <c r="N140" s="37">
        <f>Table1[[#This Row],[unique-clicks]] / Table1[[#This Row],[unique-opens]] * 100</f>
        <v>3.9709066942849072</v>
      </c>
      <c r="O140" s="37">
        <f>(MIN(Table1[[#This Row],[unique-opens]]/Table1[[#This Row],[unique-sends]],1)*50
 + MIN(Table1[[#This Row],[unique-clicks]]/Table1[[#This Row],[unique-sends]],1)*50)
 * (1 + MIN(Table1[[#This Row],[unique-clicks]]/Table1[[#This Row],[unique-sends]],1))
 - ((Table1[[#This Row],[unsub]]/Table1[[#This Row],[unique-sends]]*100)*2)</f>
        <v>21.382923551062493</v>
      </c>
      <c r="P140" s="37" t="str">
        <f>IF(Table1[[#This Row],[Engagement Score]]&lt;30,"🔴",IF(Table1[[#This Row],[Engagement Score]]&lt;40,"🟡","🟢"))</f>
        <v>🔴</v>
      </c>
      <c r="Q140" s="10">
        <v>75.099999999999994</v>
      </c>
      <c r="R140" s="11">
        <v>15.8</v>
      </c>
      <c r="S140" s="11">
        <v>9.1</v>
      </c>
      <c r="T140" s="131" t="s">
        <v>147</v>
      </c>
    </row>
    <row r="141" spans="1:20" ht="32.1" customHeight="1">
      <c r="A141" s="80">
        <v>31</v>
      </c>
      <c r="B141" s="136" t="s">
        <v>153</v>
      </c>
      <c r="C141" s="68">
        <v>45909</v>
      </c>
      <c r="D141" s="20" t="s">
        <v>28</v>
      </c>
      <c r="E141" s="20" t="s">
        <v>25</v>
      </c>
      <c r="F141" s="54" t="s">
        <v>26</v>
      </c>
      <c r="G141" s="9">
        <v>1813</v>
      </c>
      <c r="H141" s="25">
        <v>1165</v>
      </c>
      <c r="I141" s="29">
        <v>70</v>
      </c>
      <c r="J141" s="11">
        <v>0</v>
      </c>
      <c r="K141" s="36">
        <f>(Table1[[#This Row],[unsub]]/Table1[[#This Row],[unique-sends]])*100</f>
        <v>0</v>
      </c>
      <c r="L141" s="6">
        <f>Table1[[#This Row],[unique-opens]] / Table1[[#This Row],[unique-sends]] * 100</f>
        <v>64.258135686707121</v>
      </c>
      <c r="M141" s="31">
        <f>Table1[[#This Row],[unique-clicks]] / Table1[[#This Row],[unique-sends]] * 100</f>
        <v>3.8610038610038608</v>
      </c>
      <c r="N141" s="37">
        <f>Table1[[#This Row],[unique-clicks]] / Table1[[#This Row],[unique-opens]] * 100</f>
        <v>6.0085836909871242</v>
      </c>
      <c r="O141" s="37">
        <f>(MIN(Table1[[#This Row],[unique-opens]]/Table1[[#This Row],[unique-sends]],1)*50
 + MIN(Table1[[#This Row],[unique-clicks]]/Table1[[#This Row],[unique-sends]],1)*50)
 * (1 + MIN(Table1[[#This Row],[unique-clicks]]/Table1[[#This Row],[unique-sends]],1))
 - ((Table1[[#This Row],[unsub]]/Table1[[#This Row],[unique-sends]]*100)*2)</f>
        <v>35.374611077865353</v>
      </c>
      <c r="P141" s="37" t="str">
        <f>IF(Table1[[#This Row],[Engagement Score]]&lt;30,"🔴",IF(Table1[[#This Row],[Engagement Score]]&lt;40,"🟡","🟢"))</f>
        <v>🟡</v>
      </c>
      <c r="Q141" s="10">
        <v>68.2</v>
      </c>
      <c r="R141" s="11">
        <v>17.600000000000001</v>
      </c>
      <c r="S141" s="11">
        <v>14.2</v>
      </c>
      <c r="T141" s="129" t="s">
        <v>95</v>
      </c>
    </row>
    <row r="142" spans="1:20" ht="32.1" customHeight="1">
      <c r="A142" s="80">
        <v>31</v>
      </c>
      <c r="B142" s="136" t="s">
        <v>153</v>
      </c>
      <c r="C142" s="68">
        <v>45909</v>
      </c>
      <c r="D142" s="41" t="s">
        <v>21</v>
      </c>
      <c r="E142" s="20" t="s">
        <v>25</v>
      </c>
      <c r="F142" s="54" t="s">
        <v>26</v>
      </c>
      <c r="G142" s="9">
        <v>13012</v>
      </c>
      <c r="H142" s="25">
        <v>7739</v>
      </c>
      <c r="I142" s="29">
        <v>386</v>
      </c>
      <c r="J142" s="11">
        <v>4</v>
      </c>
      <c r="K142" s="36">
        <f>(Table1[[#This Row],[unsub]]/Table1[[#This Row],[unique-sends]])*100</f>
        <v>3.0740854595757761E-2</v>
      </c>
      <c r="L142" s="39">
        <f>Table1[[#This Row],[unique-opens]] / Table1[[#This Row],[unique-sends]] * 100</f>
        <v>59.475868429142331</v>
      </c>
      <c r="M142" s="40">
        <f>Table1[[#This Row],[unique-clicks]] / Table1[[#This Row],[unique-sends]] * 100</f>
        <v>2.9664924684906242</v>
      </c>
      <c r="N142" s="37">
        <f>Table1[[#This Row],[unique-clicks]] / Table1[[#This Row],[unique-opens]] * 100</f>
        <v>4.98772451221088</v>
      </c>
      <c r="O142" s="37">
        <f>(MIN(Table1[[#This Row],[unique-opens]]/Table1[[#This Row],[unique-sends]],1)*50
 + MIN(Table1[[#This Row],[unique-clicks]]/Table1[[#This Row],[unique-sends]],1)*50)
 * (1 + MIN(Table1[[#This Row],[unique-clicks]]/Table1[[#This Row],[unique-sends]],1))
 - ((Table1[[#This Row],[unsub]]/Table1[[#This Row],[unique-sends]]*100)*2)</f>
        <v>32.085872706212967</v>
      </c>
      <c r="P142" s="37" t="str">
        <f>IF(Table1[[#This Row],[Engagement Score]]&lt;30,"🔴",IF(Table1[[#This Row],[Engagement Score]]&lt;40,"🟡","🟢"))</f>
        <v>🟡</v>
      </c>
      <c r="Q142" s="10">
        <v>64.400000000000006</v>
      </c>
      <c r="R142" s="11">
        <v>19.399999999999999</v>
      </c>
      <c r="S142" s="11">
        <v>11.2</v>
      </c>
      <c r="T142" s="129" t="s">
        <v>94</v>
      </c>
    </row>
    <row r="143" spans="1:20" ht="32.1" customHeight="1">
      <c r="A143" s="80">
        <v>78</v>
      </c>
      <c r="B143" s="136" t="s">
        <v>154</v>
      </c>
      <c r="C143" s="68">
        <v>45910</v>
      </c>
      <c r="D143" s="20" t="s">
        <v>21</v>
      </c>
      <c r="E143" s="20" t="s">
        <v>97</v>
      </c>
      <c r="F143" s="19" t="s">
        <v>26</v>
      </c>
      <c r="G143" s="13">
        <v>28561</v>
      </c>
      <c r="H143" s="24">
        <v>10937</v>
      </c>
      <c r="I143" s="28">
        <v>241</v>
      </c>
      <c r="J143" s="16">
        <v>34</v>
      </c>
      <c r="K143" s="35">
        <f>(Table1[[#This Row],[unsub]]/Table1[[#This Row],[unique-sends]])*100</f>
        <v>0.11904345085956373</v>
      </c>
      <c r="L143" s="21">
        <f>Table1[[#This Row],[unique-opens]] / Table1[[#This Row],[unique-sends]] * 100</f>
        <v>38.293477119148491</v>
      </c>
      <c r="M143" s="37">
        <f>Table1[[#This Row],[unique-clicks]] / Table1[[#This Row],[unique-sends]] * 100</f>
        <v>0.84380798991631945</v>
      </c>
      <c r="N143" s="37">
        <f>Table1[[#This Row],[unique-clicks]] / Table1[[#This Row],[unique-opens]] * 100</f>
        <v>2.203529304196763</v>
      </c>
      <c r="O143" s="37">
        <f>(MIN(Table1[[#This Row],[unique-opens]]/Table1[[#This Row],[unique-sends]],1)*50
 + MIN(Table1[[#This Row],[unique-clicks]]/Table1[[#This Row],[unique-sends]],1)*50)
 * (1 + MIN(Table1[[#This Row],[unique-clicks]]/Table1[[#This Row],[unique-sends]],1))
 - ((Table1[[#This Row],[unsub]]/Table1[[#This Row],[unique-sends]]*100)*2)</f>
        <v>19.495677422206587</v>
      </c>
      <c r="P143" s="37" t="str">
        <f>IF(Table1[[#This Row],[Engagement Score]]&lt;30,"🔴",IF(Table1[[#This Row],[Engagement Score]]&lt;40,"🟡","🟢"))</f>
        <v>🔴</v>
      </c>
      <c r="Q143" s="14">
        <v>66.099999999999994</v>
      </c>
      <c r="R143" s="16">
        <v>19.399999999999999</v>
      </c>
      <c r="S143" s="16">
        <v>14.5</v>
      </c>
      <c r="T143" s="131" t="s">
        <v>155</v>
      </c>
    </row>
    <row r="144" spans="1:20" ht="32.1" customHeight="1">
      <c r="A144" s="80">
        <v>51</v>
      </c>
      <c r="B144" s="136" t="s">
        <v>156</v>
      </c>
      <c r="C144" s="68">
        <v>45915</v>
      </c>
      <c r="D144" s="20" t="s">
        <v>28</v>
      </c>
      <c r="E144" s="20" t="s">
        <v>22</v>
      </c>
      <c r="F144" s="19" t="s">
        <v>23</v>
      </c>
      <c r="G144" s="9">
        <v>48</v>
      </c>
      <c r="H144" s="25">
        <v>20</v>
      </c>
      <c r="I144" s="29">
        <v>1</v>
      </c>
      <c r="J144" s="11">
        <v>0</v>
      </c>
      <c r="K144" s="36">
        <f>(Table1[[#This Row],[unsub]]/Table1[[#This Row],[unique-sends]])*100</f>
        <v>0</v>
      </c>
      <c r="L144" s="6">
        <f>Table1[[#This Row],[unique-opens]] / Table1[[#This Row],[unique-sends]] * 100</f>
        <v>41.666666666666671</v>
      </c>
      <c r="M144" s="31">
        <f>Table1[[#This Row],[unique-clicks]] / Table1[[#This Row],[unique-sends]] * 100</f>
        <v>2.083333333333333</v>
      </c>
      <c r="N144" s="37">
        <f>Table1[[#This Row],[unique-clicks]] / Table1[[#This Row],[unique-opens]] * 100</f>
        <v>5</v>
      </c>
      <c r="O144" s="37">
        <f>(MIN(Table1[[#This Row],[unique-opens]]/Table1[[#This Row],[unique-sends]],1)*50
 + MIN(Table1[[#This Row],[unique-clicks]]/Table1[[#This Row],[unique-sends]],1)*50)
 * (1 + MIN(Table1[[#This Row],[unique-clicks]]/Table1[[#This Row],[unique-sends]],1))
 - ((Table1[[#This Row],[unsub]]/Table1[[#This Row],[unique-sends]]*100)*2)</f>
        <v>22.330729166666668</v>
      </c>
      <c r="P144" s="37" t="str">
        <f>IF(Table1[[#This Row],[Engagement Score]]&lt;30,"🔴",IF(Table1[[#This Row],[Engagement Score]]&lt;40,"🟡","🟢"))</f>
        <v>🔴</v>
      </c>
      <c r="Q144" s="14">
        <v>0</v>
      </c>
      <c r="R144" s="16">
        <v>0</v>
      </c>
      <c r="S144" s="16">
        <v>0</v>
      </c>
      <c r="T144" s="88"/>
    </row>
    <row r="145" spans="1:20" ht="32.1" customHeight="1">
      <c r="A145" s="80">
        <v>53</v>
      </c>
      <c r="B145" s="138" t="s">
        <v>157</v>
      </c>
      <c r="C145" s="68">
        <v>45915</v>
      </c>
      <c r="D145" s="15" t="s">
        <v>21</v>
      </c>
      <c r="E145" s="52" t="s">
        <v>22</v>
      </c>
      <c r="F145" s="19" t="s">
        <v>23</v>
      </c>
      <c r="G145" s="9">
        <v>268</v>
      </c>
      <c r="H145" s="25">
        <v>139</v>
      </c>
      <c r="I145" s="29">
        <v>8</v>
      </c>
      <c r="J145" s="11">
        <v>1</v>
      </c>
      <c r="K145" s="36">
        <f>(Table1[[#This Row],[unsub]]/Table1[[#This Row],[unique-sends]])*100</f>
        <v>0.37313432835820892</v>
      </c>
      <c r="L145" s="6">
        <f>Table1[[#This Row],[unique-opens]] / Table1[[#This Row],[unique-sends]] * 100</f>
        <v>51.865671641791046</v>
      </c>
      <c r="M145" s="31">
        <f>Table1[[#This Row],[unique-clicks]] / Table1[[#This Row],[unique-sends]] * 100</f>
        <v>2.9850746268656714</v>
      </c>
      <c r="N145" s="37">
        <f>Table1[[#This Row],[unique-clicks]] / Table1[[#This Row],[unique-opens]] * 100</f>
        <v>5.755395683453238</v>
      </c>
      <c r="O145" s="37">
        <f>(MIN(Table1[[#This Row],[unique-opens]]/Table1[[#This Row],[unique-sends]],1)*50
 + MIN(Table1[[#This Row],[unique-clicks]]/Table1[[#This Row],[unique-sends]],1)*50)
 * (1 + MIN(Table1[[#This Row],[unique-clicks]]/Table1[[#This Row],[unique-sends]],1))
 - ((Table1[[#This Row],[unsub]]/Table1[[#This Row],[unique-sends]]*100)*2)</f>
        <v>27.497772332368015</v>
      </c>
      <c r="P145" s="37" t="str">
        <f>IF(Table1[[#This Row],[Engagement Score]]&lt;30,"🔴",IF(Table1[[#This Row],[Engagement Score]]&lt;40,"🟡","🟢"))</f>
        <v>🔴</v>
      </c>
      <c r="Q145" s="10">
        <v>0</v>
      </c>
      <c r="R145" s="11">
        <v>0</v>
      </c>
      <c r="S145" s="11">
        <v>0</v>
      </c>
      <c r="T145" s="88"/>
    </row>
    <row r="146" spans="1:20" ht="32.1" customHeight="1">
      <c r="A146" s="80">
        <v>65</v>
      </c>
      <c r="B146" s="138" t="s">
        <v>158</v>
      </c>
      <c r="C146" s="68">
        <v>45916</v>
      </c>
      <c r="D146" s="15" t="s">
        <v>28</v>
      </c>
      <c r="E146" s="52" t="s">
        <v>68</v>
      </c>
      <c r="F146" s="19" t="s">
        <v>26</v>
      </c>
      <c r="G146" s="9">
        <v>44639</v>
      </c>
      <c r="H146" s="25">
        <v>27869</v>
      </c>
      <c r="I146" s="29">
        <v>2164</v>
      </c>
      <c r="J146" s="11">
        <v>28</v>
      </c>
      <c r="K146" s="36">
        <f>(Table1[[#This Row],[unsub]]/Table1[[#This Row],[unique-sends]])*100</f>
        <v>6.2725419476242744E-2</v>
      </c>
      <c r="L146" s="6">
        <f>Table1[[#This Row],[unique-opens]] / Table1[[#This Row],[unique-sends]] * 100</f>
        <v>62.431954120836039</v>
      </c>
      <c r="M146" s="31">
        <f>Table1[[#This Row],[unique-clicks]] / Table1[[#This Row],[unique-sends]] * 100</f>
        <v>4.8477788480924753</v>
      </c>
      <c r="N146" s="37">
        <f>Table1[[#This Row],[unique-clicks]] / Table1[[#This Row],[unique-opens]] * 100</f>
        <v>7.76490006817611</v>
      </c>
      <c r="O146" s="37">
        <f>(MIN(Table1[[#This Row],[unique-opens]]/Table1[[#This Row],[unique-sends]],1)*50
 + MIN(Table1[[#This Row],[unique-clicks]]/Table1[[#This Row],[unique-sends]],1)*50)
 * (1 + MIN(Table1[[#This Row],[unique-clicks]]/Table1[[#This Row],[unique-sends]],1))
 - ((Table1[[#This Row],[unsub]]/Table1[[#This Row],[unique-sends]]*100)*2)</f>
        <v>35.145201977472176</v>
      </c>
      <c r="P146" s="37" t="str">
        <f>IF(Table1[[#This Row],[Engagement Score]]&lt;30,"🔴",IF(Table1[[#This Row],[Engagement Score]]&lt;40,"🟡","🟢"))</f>
        <v>🟡</v>
      </c>
      <c r="Q146" s="10">
        <v>66.5</v>
      </c>
      <c r="R146" s="11">
        <v>18.100000000000001</v>
      </c>
      <c r="S146" s="11">
        <v>15.4</v>
      </c>
      <c r="T146" s="129" t="s">
        <v>138</v>
      </c>
    </row>
    <row r="147" spans="1:20" ht="32.1" customHeight="1">
      <c r="A147" s="80">
        <v>27</v>
      </c>
      <c r="B147" s="138" t="s">
        <v>159</v>
      </c>
      <c r="C147" s="67">
        <v>45917</v>
      </c>
      <c r="D147" s="20" t="s">
        <v>21</v>
      </c>
      <c r="E147" s="20" t="s">
        <v>22</v>
      </c>
      <c r="F147" s="19" t="s">
        <v>26</v>
      </c>
      <c r="G147" s="9">
        <v>4294</v>
      </c>
      <c r="H147" s="25">
        <v>1419</v>
      </c>
      <c r="I147" s="29">
        <v>261</v>
      </c>
      <c r="J147" s="11">
        <v>6</v>
      </c>
      <c r="K147" s="35">
        <f>(Table1[[#This Row],[unsub]]/Table1[[#This Row],[unique-sends]])*100</f>
        <v>0.13972985561248255</v>
      </c>
      <c r="L147" s="21">
        <f>Table1[[#This Row],[unique-opens]] / Table1[[#This Row],[unique-sends]] * 100</f>
        <v>33.046110852352115</v>
      </c>
      <c r="M147" s="37">
        <f>Table1[[#This Row],[unique-clicks]] / Table1[[#This Row],[unique-sends]] * 100</f>
        <v>6.0782487191429899</v>
      </c>
      <c r="N147" s="37">
        <f>Table1[[#This Row],[unique-clicks]] / Table1[[#This Row],[unique-opens]] * 100</f>
        <v>18.393234672304441</v>
      </c>
      <c r="O147" s="37">
        <f>(MIN(Table1[[#This Row],[unique-opens]]/Table1[[#This Row],[unique-sends]],1)*50
 + MIN(Table1[[#This Row],[unique-clicks]]/Table1[[#This Row],[unique-sends]],1)*50)
 * (1 + MIN(Table1[[#This Row],[unique-clicks]]/Table1[[#This Row],[unique-sends]],1))
 - ((Table1[[#This Row],[unsub]]/Table1[[#This Row],[unique-sends]]*100)*2)</f>
        <v>20.471758016786239</v>
      </c>
      <c r="P147" s="37" t="str">
        <f>IF(Table1[[#This Row],[Engagement Score]]&lt;30,"🔴",IF(Table1[[#This Row],[Engagement Score]]&lt;40,"🟡","🟢"))</f>
        <v>🔴</v>
      </c>
      <c r="Q147" s="14">
        <v>90.1</v>
      </c>
      <c r="R147" s="16">
        <v>3.3</v>
      </c>
      <c r="S147" s="16">
        <v>6.6</v>
      </c>
      <c r="T147" s="131" t="s">
        <v>160</v>
      </c>
    </row>
    <row r="148" spans="1:20" ht="32.1" customHeight="1">
      <c r="A148" s="80">
        <v>28</v>
      </c>
      <c r="B148" s="136" t="s">
        <v>159</v>
      </c>
      <c r="C148" s="67">
        <v>45917</v>
      </c>
      <c r="D148" s="15" t="s">
        <v>28</v>
      </c>
      <c r="E148" s="15" t="s">
        <v>22</v>
      </c>
      <c r="F148" s="53" t="s">
        <v>26</v>
      </c>
      <c r="G148" s="13">
        <v>455</v>
      </c>
      <c r="H148" s="24">
        <v>311</v>
      </c>
      <c r="I148" s="28">
        <v>78</v>
      </c>
      <c r="J148" s="16">
        <v>1</v>
      </c>
      <c r="K148" s="35">
        <f>(Table1[[#This Row],[unsub]]/Table1[[#This Row],[unique-sends]])*100</f>
        <v>0.21978021978021978</v>
      </c>
      <c r="L148" s="21">
        <f>Table1[[#This Row],[unique-opens]] / Table1[[#This Row],[unique-sends]] * 100</f>
        <v>68.35164835164835</v>
      </c>
      <c r="M148" s="37">
        <f>Table1[[#This Row],[unique-clicks]] / Table1[[#This Row],[unique-sends]] * 100</f>
        <v>17.142857142857142</v>
      </c>
      <c r="N148" s="37">
        <f>Table1[[#This Row],[unique-clicks]] / Table1[[#This Row],[unique-opens]] * 100</f>
        <v>25.080385852090032</v>
      </c>
      <c r="O148" s="37">
        <f>(MIN(Table1[[#This Row],[unique-opens]]/Table1[[#This Row],[unique-sends]],1)*50
 + MIN(Table1[[#This Row],[unique-clicks]]/Table1[[#This Row],[unique-sends]],1)*50)
 * (1 + MIN(Table1[[#This Row],[unique-clicks]]/Table1[[#This Row],[unique-sends]],1))
 - ((Table1[[#This Row],[unsub]]/Table1[[#This Row],[unique-sends]]*100)*2)</f>
        <v>49.635792778649922</v>
      </c>
      <c r="P148" s="37" t="str">
        <f>IF(Table1[[#This Row],[Engagement Score]]&lt;30,"🔴",IF(Table1[[#This Row],[Engagement Score]]&lt;40,"🟡","🟢"))</f>
        <v>🟢</v>
      </c>
      <c r="Q148" s="14">
        <v>84.2</v>
      </c>
      <c r="R148" s="16">
        <v>5.3</v>
      </c>
      <c r="S148" s="16">
        <v>10.5</v>
      </c>
      <c r="T148" s="131" t="s">
        <v>161</v>
      </c>
    </row>
    <row r="149" spans="1:20" ht="32.1" customHeight="1">
      <c r="A149" s="80">
        <v>54</v>
      </c>
      <c r="B149" s="136" t="s">
        <v>162</v>
      </c>
      <c r="C149" s="67">
        <v>45917</v>
      </c>
      <c r="D149" s="20" t="s">
        <v>28</v>
      </c>
      <c r="E149" s="20" t="s">
        <v>22</v>
      </c>
      <c r="F149" s="19" t="s">
        <v>23</v>
      </c>
      <c r="G149" s="13">
        <v>78</v>
      </c>
      <c r="H149" s="24">
        <v>34</v>
      </c>
      <c r="I149" s="28">
        <v>4</v>
      </c>
      <c r="J149" s="16">
        <v>0</v>
      </c>
      <c r="K149" s="35">
        <f>(Table1[[#This Row],[unsub]]/Table1[[#This Row],[unique-sends]])*100</f>
        <v>0</v>
      </c>
      <c r="L149" s="21">
        <f>Table1[[#This Row],[unique-opens]] / Table1[[#This Row],[unique-sends]] * 100</f>
        <v>43.589743589743591</v>
      </c>
      <c r="M149" s="37">
        <f>Table1[[#This Row],[unique-clicks]] / Table1[[#This Row],[unique-sends]] * 100</f>
        <v>5.1282051282051277</v>
      </c>
      <c r="N149" s="37">
        <f>Table1[[#This Row],[unique-clicks]] / Table1[[#This Row],[unique-opens]] * 100</f>
        <v>11.76470588235294</v>
      </c>
      <c r="O149" s="37">
        <f>(MIN(Table1[[#This Row],[unique-opens]]/Table1[[#This Row],[unique-sends]],1)*50
 + MIN(Table1[[#This Row],[unique-clicks]]/Table1[[#This Row],[unique-sends]],1)*50)
 * (1 + MIN(Table1[[#This Row],[unique-clicks]]/Table1[[#This Row],[unique-sends]],1))
 - ((Table1[[#This Row],[unsub]]/Table1[[#This Row],[unique-sends]]*100)*2)</f>
        <v>25.608152531229454</v>
      </c>
      <c r="P149" s="37" t="str">
        <f>IF(Table1[[#This Row],[Engagement Score]]&lt;30,"🔴",IF(Table1[[#This Row],[Engagement Score]]&lt;40,"🟡","🟢"))</f>
        <v>🔴</v>
      </c>
      <c r="Q149" s="14">
        <v>0</v>
      </c>
      <c r="R149" s="16">
        <v>0</v>
      </c>
      <c r="S149" s="16">
        <v>0</v>
      </c>
      <c r="T149" s="130"/>
    </row>
    <row r="150" spans="1:20" ht="32.1" customHeight="1">
      <c r="A150" s="80">
        <v>55</v>
      </c>
      <c r="B150" s="136" t="s">
        <v>163</v>
      </c>
      <c r="C150" s="67">
        <v>45917</v>
      </c>
      <c r="D150" s="15" t="s">
        <v>21</v>
      </c>
      <c r="E150" s="15" t="s">
        <v>22</v>
      </c>
      <c r="F150" s="53" t="s">
        <v>23</v>
      </c>
      <c r="G150" s="9">
        <v>1825</v>
      </c>
      <c r="H150" s="25">
        <v>1035</v>
      </c>
      <c r="I150" s="29">
        <v>57</v>
      </c>
      <c r="J150" s="11">
        <v>2</v>
      </c>
      <c r="K150" s="36">
        <f>(Table1[[#This Row],[unsub]]/Table1[[#This Row],[unique-sends]])*100</f>
        <v>0.1095890410958904</v>
      </c>
      <c r="L150" s="6">
        <f>Table1[[#This Row],[unique-opens]] / Table1[[#This Row],[unique-sends]] * 100</f>
        <v>56.712328767123289</v>
      </c>
      <c r="M150" s="31">
        <f>Table1[[#This Row],[unique-clicks]] / Table1[[#This Row],[unique-sends]] * 100</f>
        <v>3.1232876712328768</v>
      </c>
      <c r="N150" s="37">
        <f>Table1[[#This Row],[unique-clicks]] / Table1[[#This Row],[unique-opens]] * 100</f>
        <v>5.5072463768115938</v>
      </c>
      <c r="O150" s="37">
        <f>(MIN(Table1[[#This Row],[unique-opens]]/Table1[[#This Row],[unique-sends]],1)*50
 + MIN(Table1[[#This Row],[unique-clicks]]/Table1[[#This Row],[unique-sends]],1)*50)
 * (1 + MIN(Table1[[#This Row],[unique-clicks]]/Table1[[#This Row],[unique-sends]],1))
 - ((Table1[[#This Row],[unsub]]/Table1[[#This Row],[unique-sends]]*100)*2)</f>
        <v>30.633049352598984</v>
      </c>
      <c r="P150" s="37" t="str">
        <f>IF(Table1[[#This Row],[Engagement Score]]&lt;30,"🔴",IF(Table1[[#This Row],[Engagement Score]]&lt;40,"🟡","🟢"))</f>
        <v>🟡</v>
      </c>
      <c r="Q150" s="14">
        <v>0</v>
      </c>
      <c r="R150" s="16">
        <v>0</v>
      </c>
      <c r="S150" s="16">
        <v>0</v>
      </c>
      <c r="T150" s="88"/>
    </row>
    <row r="151" spans="1:20" ht="32.1" customHeight="1">
      <c r="A151" s="80">
        <v>74</v>
      </c>
      <c r="B151" s="138" t="s">
        <v>164</v>
      </c>
      <c r="C151" s="68">
        <v>45922</v>
      </c>
      <c r="D151" s="46" t="s">
        <v>21</v>
      </c>
      <c r="E151" s="48" t="s">
        <v>22</v>
      </c>
      <c r="F151" s="54" t="s">
        <v>26</v>
      </c>
      <c r="G151" s="9">
        <v>10911</v>
      </c>
      <c r="H151" s="25">
        <v>8376</v>
      </c>
      <c r="I151" s="29">
        <v>4289</v>
      </c>
      <c r="J151" s="11">
        <v>8</v>
      </c>
      <c r="K151" s="36">
        <f>(Table1[[#This Row],[unsub]]/Table1[[#This Row],[unique-sends]])*100</f>
        <v>7.3320502245440386E-2</v>
      </c>
      <c r="L151" s="6">
        <f>Table1[[#This Row],[unique-opens]] / Table1[[#This Row],[unique-sends]] * 100</f>
        <v>76.766565850976079</v>
      </c>
      <c r="M151" s="31">
        <f>Table1[[#This Row],[unique-clicks]] / Table1[[#This Row],[unique-sends]] * 100</f>
        <v>39.308954266336727</v>
      </c>
      <c r="N151" s="37">
        <f>Table1[[#This Row],[unique-clicks]] / Table1[[#This Row],[unique-opens]] * 100</f>
        <v>51.205826170009551</v>
      </c>
      <c r="O151" s="37">
        <f>(MIN(Table1[[#This Row],[unique-opens]]/Table1[[#This Row],[unique-sends]],1)*50
 + MIN(Table1[[#This Row],[unique-clicks]]/Table1[[#This Row],[unique-sends]],1)*50)
 * (1 + MIN(Table1[[#This Row],[unique-clicks]]/Table1[[#This Row],[unique-sends]],1))
 - ((Table1[[#This Row],[unsub]]/Table1[[#This Row],[unique-sends]]*100)*2)</f>
        <v>80.705155612829017</v>
      </c>
      <c r="P151" s="37" t="str">
        <f>IF(Table1[[#This Row],[Engagement Score]]&lt;30,"🔴",IF(Table1[[#This Row],[Engagement Score]]&lt;40,"🟡","🟢"))</f>
        <v>🟢</v>
      </c>
      <c r="Q151" s="14">
        <v>69.930000000000007</v>
      </c>
      <c r="R151" s="16">
        <v>17.2</v>
      </c>
      <c r="S151" s="16">
        <v>13.5</v>
      </c>
      <c r="T151" s="129" t="s">
        <v>165</v>
      </c>
    </row>
    <row r="152" spans="1:20" ht="32.1" customHeight="1">
      <c r="A152" s="80">
        <v>74</v>
      </c>
      <c r="B152" s="136" t="s">
        <v>166</v>
      </c>
      <c r="C152" s="67">
        <v>45922</v>
      </c>
      <c r="D152" s="47" t="s">
        <v>21</v>
      </c>
      <c r="E152" s="49" t="s">
        <v>22</v>
      </c>
      <c r="F152" s="53" t="s">
        <v>26</v>
      </c>
      <c r="G152" s="13">
        <v>3043</v>
      </c>
      <c r="H152" s="24">
        <v>2080</v>
      </c>
      <c r="I152" s="28">
        <v>1053</v>
      </c>
      <c r="J152" s="16">
        <v>0</v>
      </c>
      <c r="K152" s="35">
        <f>(Table1[[#This Row],[unsub]]/Table1[[#This Row],[unique-sends]])*100</f>
        <v>0</v>
      </c>
      <c r="L152" s="44">
        <f>Table1[[#This Row],[unique-opens]] / Table1[[#This Row],[unique-sends]] * 100</f>
        <v>68.353598422609267</v>
      </c>
      <c r="M152" s="45">
        <f>Table1[[#This Row],[unique-clicks]] / Table1[[#This Row],[unique-sends]] * 100</f>
        <v>34.60400920144594</v>
      </c>
      <c r="N152" s="37">
        <f>Table1[[#This Row],[unique-clicks]] / Table1[[#This Row],[unique-opens]] * 100</f>
        <v>50.625</v>
      </c>
      <c r="O152" s="37">
        <f>(MIN(Table1[[#This Row],[unique-opens]]/Table1[[#This Row],[unique-sends]],1)*50
 + MIN(Table1[[#This Row],[unique-clicks]]/Table1[[#This Row],[unique-sends]],1)*50)
 * (1 + MIN(Table1[[#This Row],[unique-clicks]]/Table1[[#This Row],[unique-sends]],1))
 - ((Table1[[#This Row],[unsub]]/Table1[[#This Row],[unique-sends]]*100)*2)</f>
        <v>69.292533819935954</v>
      </c>
      <c r="P152" s="37" t="str">
        <f>IF(Table1[[#This Row],[Engagement Score]]&lt;30,"🔴",IF(Table1[[#This Row],[Engagement Score]]&lt;40,"🟡","🟢"))</f>
        <v>🟢</v>
      </c>
      <c r="Q152" s="14">
        <v>69.930000000000007</v>
      </c>
      <c r="R152" s="16">
        <v>17.2</v>
      </c>
      <c r="S152" s="16">
        <v>13.5</v>
      </c>
      <c r="T152" s="131" t="s">
        <v>165</v>
      </c>
    </row>
    <row r="153" spans="1:20" ht="32.1" customHeight="1">
      <c r="A153" s="80">
        <v>20</v>
      </c>
      <c r="B153" s="138" t="s">
        <v>167</v>
      </c>
      <c r="C153" s="67">
        <v>45925</v>
      </c>
      <c r="D153" s="20" t="s">
        <v>21</v>
      </c>
      <c r="E153" s="20" t="s">
        <v>22</v>
      </c>
      <c r="F153" s="54" t="s">
        <v>23</v>
      </c>
      <c r="G153" s="9">
        <v>254</v>
      </c>
      <c r="H153" s="25">
        <v>99</v>
      </c>
      <c r="I153" s="29">
        <v>8</v>
      </c>
      <c r="J153" s="11">
        <v>0</v>
      </c>
      <c r="K153" s="36">
        <f>(Table1[[#This Row],[unsub]]/Table1[[#This Row],[unique-sends]])*100</f>
        <v>0</v>
      </c>
      <c r="L153" s="6">
        <f>Table1[[#This Row],[unique-opens]] / Table1[[#This Row],[unique-sends]] * 100</f>
        <v>38.976377952755904</v>
      </c>
      <c r="M153" s="31">
        <f>Table1[[#This Row],[unique-clicks]] / Table1[[#This Row],[unique-sends]] * 100</f>
        <v>3.1496062992125982</v>
      </c>
      <c r="N153" s="37">
        <f>Table1[[#This Row],[unique-clicks]] / Table1[[#This Row],[unique-opens]] * 100</f>
        <v>8.0808080808080813</v>
      </c>
      <c r="O153" s="37">
        <f>(MIN(Table1[[#This Row],[unique-opens]]/Table1[[#This Row],[unique-sends]],1)*50
 + MIN(Table1[[#This Row],[unique-clicks]]/Table1[[#This Row],[unique-sends]],1)*50)
 * (1 + MIN(Table1[[#This Row],[unique-clicks]]/Table1[[#This Row],[unique-sends]],1))
 - ((Table1[[#This Row],[unsub]]/Table1[[#This Row],[unique-sends]]*100)*2)</f>
        <v>21.726393452786905</v>
      </c>
      <c r="P153" s="37" t="str">
        <f>IF(Table1[[#This Row],[Engagement Score]]&lt;30,"🔴",IF(Table1[[#This Row],[Engagement Score]]&lt;40,"🟡","🟢"))</f>
        <v>🔴</v>
      </c>
      <c r="Q153" s="10">
        <v>81.400000000000006</v>
      </c>
      <c r="R153" s="11">
        <v>7.1</v>
      </c>
      <c r="S153" s="11">
        <v>11.4</v>
      </c>
      <c r="T153" s="129" t="s">
        <v>168</v>
      </c>
    </row>
    <row r="154" spans="1:20" ht="32.1" customHeight="1">
      <c r="A154" s="80">
        <v>21</v>
      </c>
      <c r="B154" s="136" t="s">
        <v>169</v>
      </c>
      <c r="C154" s="67">
        <v>45925</v>
      </c>
      <c r="D154" s="15" t="s">
        <v>21</v>
      </c>
      <c r="E154" s="15" t="s">
        <v>22</v>
      </c>
      <c r="F154" s="53" t="s">
        <v>23</v>
      </c>
      <c r="G154" s="13">
        <v>163</v>
      </c>
      <c r="H154" s="24">
        <v>80</v>
      </c>
      <c r="I154" s="28">
        <v>18</v>
      </c>
      <c r="J154" s="16">
        <v>0</v>
      </c>
      <c r="K154" s="35">
        <f>(Table1[[#This Row],[unsub]]/Table1[[#This Row],[unique-sends]])*100</f>
        <v>0</v>
      </c>
      <c r="L154" s="44">
        <f>Table1[[#This Row],[unique-opens]] / Table1[[#This Row],[unique-sends]] * 100</f>
        <v>49.079754601226995</v>
      </c>
      <c r="M154" s="45">
        <f>Table1[[#This Row],[unique-clicks]] / Table1[[#This Row],[unique-sends]] * 100</f>
        <v>11.042944785276074</v>
      </c>
      <c r="N154" s="37">
        <f>Table1[[#This Row],[unique-clicks]] / Table1[[#This Row],[unique-opens]] * 100</f>
        <v>22.5</v>
      </c>
      <c r="O154" s="37">
        <f>(MIN(Table1[[#This Row],[unique-opens]]/Table1[[#This Row],[unique-sends]],1)*50
 + MIN(Table1[[#This Row],[unique-clicks]]/Table1[[#This Row],[unique-sends]],1)*50)
 * (1 + MIN(Table1[[#This Row],[unique-clicks]]/Table1[[#This Row],[unique-sends]],1))
 - ((Table1[[#This Row],[unsub]]/Table1[[#This Row],[unique-sends]]*100)*2)</f>
        <v>33.381007941586063</v>
      </c>
      <c r="P154" s="37" t="str">
        <f>IF(Table1[[#This Row],[Engagement Score]]&lt;30,"🔴",IF(Table1[[#This Row],[Engagement Score]]&lt;40,"🟡","🟢"))</f>
        <v>🟡</v>
      </c>
      <c r="Q154" s="14">
        <v>81.400000000000006</v>
      </c>
      <c r="R154" s="16">
        <v>7.1</v>
      </c>
      <c r="S154" s="16">
        <v>11.4</v>
      </c>
      <c r="T154" s="131" t="s">
        <v>168</v>
      </c>
    </row>
    <row r="155" spans="1:20" ht="32.1" customHeight="1">
      <c r="A155" s="80">
        <v>22</v>
      </c>
      <c r="B155" s="138" t="s">
        <v>170</v>
      </c>
      <c r="C155" s="67">
        <v>45925</v>
      </c>
      <c r="D155" s="20" t="s">
        <v>21</v>
      </c>
      <c r="E155" s="15" t="s">
        <v>22</v>
      </c>
      <c r="F155" s="53" t="s">
        <v>23</v>
      </c>
      <c r="G155" s="9">
        <v>145</v>
      </c>
      <c r="H155" s="25">
        <v>91</v>
      </c>
      <c r="I155" s="29">
        <v>21</v>
      </c>
      <c r="J155" s="11">
        <v>0</v>
      </c>
      <c r="K155" s="36">
        <f>(Table1[[#This Row],[unsub]]/Table1[[#This Row],[unique-sends]])*100</f>
        <v>0</v>
      </c>
      <c r="L155" s="6">
        <f>Table1[[#This Row],[unique-opens]] / Table1[[#This Row],[unique-sends]] * 100</f>
        <v>62.758620689655174</v>
      </c>
      <c r="M155" s="31">
        <f>Table1[[#This Row],[unique-clicks]] / Table1[[#This Row],[unique-sends]] * 100</f>
        <v>14.482758620689657</v>
      </c>
      <c r="N155" s="37">
        <f>Table1[[#This Row],[unique-clicks]] / Table1[[#This Row],[unique-opens]] * 100</f>
        <v>23.076923076923077</v>
      </c>
      <c r="O155" s="37">
        <f>(MIN(Table1[[#This Row],[unique-opens]]/Table1[[#This Row],[unique-sends]],1)*50
 + MIN(Table1[[#This Row],[unique-clicks]]/Table1[[#This Row],[unique-sends]],1)*50)
 * (1 + MIN(Table1[[#This Row],[unique-clicks]]/Table1[[#This Row],[unique-sends]],1))
 - ((Table1[[#This Row],[unsub]]/Table1[[#This Row],[unique-sends]]*100)*2)</f>
        <v>44.214030915576693</v>
      </c>
      <c r="P155" s="37" t="str">
        <f>IF(Table1[[#This Row],[Engagement Score]]&lt;30,"🔴",IF(Table1[[#This Row],[Engagement Score]]&lt;40,"🟡","🟢"))</f>
        <v>🟢</v>
      </c>
      <c r="Q155" s="10">
        <v>81.400000000000006</v>
      </c>
      <c r="R155" s="11">
        <v>7.1</v>
      </c>
      <c r="S155" s="11">
        <v>11.4</v>
      </c>
      <c r="T155" s="129" t="s">
        <v>168</v>
      </c>
    </row>
    <row r="156" spans="1:20" ht="32.1" customHeight="1">
      <c r="A156" s="80">
        <v>23</v>
      </c>
      <c r="B156" s="136" t="s">
        <v>171</v>
      </c>
      <c r="C156" s="67">
        <v>45925</v>
      </c>
      <c r="D156" s="15" t="s">
        <v>21</v>
      </c>
      <c r="E156" s="15" t="s">
        <v>22</v>
      </c>
      <c r="F156" s="53" t="s">
        <v>23</v>
      </c>
      <c r="G156" s="13">
        <v>106</v>
      </c>
      <c r="H156" s="24">
        <v>63</v>
      </c>
      <c r="I156" s="28">
        <v>11</v>
      </c>
      <c r="J156" s="16">
        <v>0</v>
      </c>
      <c r="K156" s="35">
        <f>(Table1[[#This Row],[unsub]]/Table1[[#This Row],[unique-sends]])*100</f>
        <v>0</v>
      </c>
      <c r="L156" s="44">
        <f>Table1[[#This Row],[unique-opens]] / Table1[[#This Row],[unique-sends]] * 100</f>
        <v>59.433962264150942</v>
      </c>
      <c r="M156" s="45">
        <f>Table1[[#This Row],[unique-clicks]] / Table1[[#This Row],[unique-sends]] * 100</f>
        <v>10.377358490566039</v>
      </c>
      <c r="N156" s="37">
        <f>Table1[[#This Row],[unique-clicks]] / Table1[[#This Row],[unique-opens]] * 100</f>
        <v>17.460317460317459</v>
      </c>
      <c r="O156" s="37">
        <f>(MIN(Table1[[#This Row],[unique-opens]]/Table1[[#This Row],[unique-sends]],1)*50
 + MIN(Table1[[#This Row],[unique-clicks]]/Table1[[#This Row],[unique-sends]],1)*50)
 * (1 + MIN(Table1[[#This Row],[unique-clicks]]/Table1[[#This Row],[unique-sends]],1))
 - ((Table1[[#This Row],[unsub]]/Table1[[#This Row],[unique-sends]]*100)*2)</f>
        <v>38.527945888216443</v>
      </c>
      <c r="P156" s="37" t="str">
        <f>IF(Table1[[#This Row],[Engagement Score]]&lt;30,"🔴",IF(Table1[[#This Row],[Engagement Score]]&lt;40,"🟡","🟢"))</f>
        <v>🟡</v>
      </c>
      <c r="Q156" s="14">
        <v>81.400000000000006</v>
      </c>
      <c r="R156" s="16">
        <v>7.1</v>
      </c>
      <c r="S156" s="16">
        <v>11.4</v>
      </c>
      <c r="T156" s="131" t="s">
        <v>168</v>
      </c>
    </row>
    <row r="157" spans="1:20" ht="32.1" customHeight="1">
      <c r="A157" s="80">
        <v>31</v>
      </c>
      <c r="B157" s="136" t="s">
        <v>172</v>
      </c>
      <c r="C157" s="68">
        <v>45930</v>
      </c>
      <c r="D157" s="20" t="s">
        <v>28</v>
      </c>
      <c r="E157" s="53" t="s">
        <v>25</v>
      </c>
      <c r="F157" s="53" t="s">
        <v>26</v>
      </c>
      <c r="G157" s="9">
        <v>298</v>
      </c>
      <c r="H157" s="25">
        <v>154</v>
      </c>
      <c r="I157" s="29">
        <v>2</v>
      </c>
      <c r="J157" s="11">
        <v>0</v>
      </c>
      <c r="K157" s="36">
        <f>(Table1[[#This Row],[unsub]]/Table1[[#This Row],[unique-sends]])*100</f>
        <v>0</v>
      </c>
      <c r="L157" s="6">
        <f>Table1[[#This Row],[unique-opens]] / Table1[[#This Row],[unique-sends]] * 100</f>
        <v>51.677852348993291</v>
      </c>
      <c r="M157" s="31">
        <f>Table1[[#This Row],[unique-clicks]] / Table1[[#This Row],[unique-sends]] * 100</f>
        <v>0.67114093959731547</v>
      </c>
      <c r="N157" s="37">
        <f>Table1[[#This Row],[unique-clicks]] / Table1[[#This Row],[unique-opens]] * 100</f>
        <v>1.2987012987012987</v>
      </c>
      <c r="O157" s="37">
        <f>(MIN(Table1[[#This Row],[unique-opens]]/Table1[[#This Row],[unique-sends]],1)*50
 + MIN(Table1[[#This Row],[unique-clicks]]/Table1[[#This Row],[unique-sends]],1)*50)
 * (1 + MIN(Table1[[#This Row],[unique-clicks]]/Table1[[#This Row],[unique-sends]],1))
 - ((Table1[[#This Row],[unsub]]/Table1[[#This Row],[unique-sends]]*100)*2)</f>
        <v>26.350164407008698</v>
      </c>
      <c r="P157" s="37" t="str">
        <f>IF(Table1[[#This Row],[Engagement Score]]&lt;30,"🔴",IF(Table1[[#This Row],[Engagement Score]]&lt;40,"🟡","🟢"))</f>
        <v>🔴</v>
      </c>
      <c r="Q157" s="10">
        <v>50</v>
      </c>
      <c r="R157" s="11">
        <v>38.9</v>
      </c>
      <c r="S157" s="11">
        <v>11.1</v>
      </c>
      <c r="T157" s="129" t="s">
        <v>173</v>
      </c>
    </row>
    <row r="158" spans="1:20" ht="32.1" customHeight="1">
      <c r="A158" s="80">
        <v>31</v>
      </c>
      <c r="B158" s="136" t="s">
        <v>172</v>
      </c>
      <c r="C158" s="67">
        <v>45930</v>
      </c>
      <c r="D158" s="15" t="s">
        <v>21</v>
      </c>
      <c r="E158" s="53" t="s">
        <v>25</v>
      </c>
      <c r="F158" s="53" t="s">
        <v>26</v>
      </c>
      <c r="G158" s="9">
        <v>8785</v>
      </c>
      <c r="H158" s="25">
        <v>4026</v>
      </c>
      <c r="I158" s="29">
        <v>150</v>
      </c>
      <c r="J158" s="11">
        <v>1</v>
      </c>
      <c r="K158" s="36">
        <f>(Table1[[#This Row],[unsub]]/Table1[[#This Row],[unique-sends]])*100</f>
        <v>1.1383039271485488E-2</v>
      </c>
      <c r="L158" s="39">
        <f>Table1[[#This Row],[unique-opens]] / Table1[[#This Row],[unique-sends]] * 100</f>
        <v>45.828116107000568</v>
      </c>
      <c r="M158" s="40">
        <f>Table1[[#This Row],[unique-clicks]] / Table1[[#This Row],[unique-sends]] * 100</f>
        <v>1.707455890722823</v>
      </c>
      <c r="N158" s="37">
        <f>Table1[[#This Row],[unique-clicks]] / Table1[[#This Row],[unique-opens]] * 100</f>
        <v>3.7257824143070044</v>
      </c>
      <c r="O158" s="37">
        <f>(MIN(Table1[[#This Row],[unique-opens]]/Table1[[#This Row],[unique-sends]],1)*50
 + MIN(Table1[[#This Row],[unique-clicks]]/Table1[[#This Row],[unique-sends]],1)*50)
 * (1 + MIN(Table1[[#This Row],[unique-clicks]]/Table1[[#This Row],[unique-sends]],1))
 - ((Table1[[#This Row],[unsub]]/Table1[[#This Row],[unique-sends]]*100)*2)</f>
        <v>24.150844382450686</v>
      </c>
      <c r="P158" s="37" t="str">
        <f>IF(Table1[[#This Row],[Engagement Score]]&lt;30,"🔴",IF(Table1[[#This Row],[Engagement Score]]&lt;40,"🟡","🟢"))</f>
        <v>🔴</v>
      </c>
      <c r="Q158" s="10">
        <v>79.5</v>
      </c>
      <c r="R158" s="11">
        <v>14.4</v>
      </c>
      <c r="S158" s="11">
        <v>6.1</v>
      </c>
      <c r="T158" s="129" t="s">
        <v>174</v>
      </c>
    </row>
    <row r="159" spans="1:20" ht="32.1" customHeight="1">
      <c r="A159" s="80">
        <v>38</v>
      </c>
      <c r="B159" s="136" t="s">
        <v>175</v>
      </c>
      <c r="C159" s="67">
        <v>45931</v>
      </c>
      <c r="D159" s="20" t="s">
        <v>21</v>
      </c>
      <c r="E159" s="15" t="s">
        <v>22</v>
      </c>
      <c r="F159" s="19" t="s">
        <v>23</v>
      </c>
      <c r="G159" s="13">
        <v>3920</v>
      </c>
      <c r="H159" s="24">
        <v>2841</v>
      </c>
      <c r="I159" s="28">
        <v>108</v>
      </c>
      <c r="J159" s="16">
        <v>15</v>
      </c>
      <c r="K159" s="35">
        <f>(Table1[[#This Row],[unsub]]/Table1[[#This Row],[unique-sends]])*100</f>
        <v>0.38265306122448978</v>
      </c>
      <c r="L159" s="21">
        <f>Table1[[#This Row],[unique-opens]] / Table1[[#This Row],[unique-sends]] * 100</f>
        <v>72.474489795918359</v>
      </c>
      <c r="M159" s="37">
        <f>Table1[[#This Row],[unique-clicks]] / Table1[[#This Row],[unique-sends]] * 100</f>
        <v>2.7551020408163267</v>
      </c>
      <c r="N159" s="37">
        <f>Table1[[#This Row],[unique-clicks]] / Table1[[#This Row],[unique-opens]] * 100</f>
        <v>3.8014783526927136</v>
      </c>
      <c r="O159" s="37">
        <f>(MIN(Table1[[#This Row],[unique-opens]]/Table1[[#This Row],[unique-sends]],1)*50
 + MIN(Table1[[#This Row],[unique-clicks]]/Table1[[#This Row],[unique-sends]],1)*50)
 * (1 + MIN(Table1[[#This Row],[unique-clicks]]/Table1[[#This Row],[unique-sends]],1))
 - ((Table1[[#This Row],[unsub]]/Table1[[#This Row],[unique-sends]]*100)*2)</f>
        <v>37.885815805914199</v>
      </c>
      <c r="P159" s="37" t="str">
        <f>IF(Table1[[#This Row],[Engagement Score]]&lt;30,"🔴",IF(Table1[[#This Row],[Engagement Score]]&lt;40,"🟡","🟢"))</f>
        <v>🟡</v>
      </c>
      <c r="Q159" s="14">
        <v>0</v>
      </c>
      <c r="R159" s="16">
        <v>0</v>
      </c>
      <c r="S159" s="16">
        <v>0</v>
      </c>
      <c r="T159" s="130"/>
    </row>
    <row r="160" spans="1:20" ht="32.1" customHeight="1">
      <c r="A160" s="80">
        <v>39</v>
      </c>
      <c r="B160" s="136" t="s">
        <v>32</v>
      </c>
      <c r="C160" s="67">
        <v>45931</v>
      </c>
      <c r="D160" s="15" t="s">
        <v>28</v>
      </c>
      <c r="E160" s="15" t="s">
        <v>22</v>
      </c>
      <c r="F160" s="19" t="s">
        <v>23</v>
      </c>
      <c r="G160" s="9">
        <v>182</v>
      </c>
      <c r="H160" s="25">
        <v>96</v>
      </c>
      <c r="I160" s="29">
        <v>3</v>
      </c>
      <c r="J160" s="11">
        <v>0</v>
      </c>
      <c r="K160" s="36">
        <f>(Table1[[#This Row],[unsub]]/Table1[[#This Row],[unique-sends]])*100</f>
        <v>0</v>
      </c>
      <c r="L160" s="6">
        <f>Table1[[#This Row],[unique-opens]] / Table1[[#This Row],[unique-sends]] * 100</f>
        <v>52.747252747252752</v>
      </c>
      <c r="M160" s="31">
        <f>Table1[[#This Row],[unique-clicks]] / Table1[[#This Row],[unique-sends]] * 100</f>
        <v>1.6483516483516485</v>
      </c>
      <c r="N160" s="37">
        <f>Table1[[#This Row],[unique-clicks]] / Table1[[#This Row],[unique-opens]] * 100</f>
        <v>3.125</v>
      </c>
      <c r="O160" s="37">
        <f>(MIN(Table1[[#This Row],[unique-opens]]/Table1[[#This Row],[unique-sends]],1)*50
 + MIN(Table1[[#This Row],[unique-clicks]]/Table1[[#This Row],[unique-sends]],1)*50)
 * (1 + MIN(Table1[[#This Row],[unique-clicks]]/Table1[[#This Row],[unique-sends]],1))
 - ((Table1[[#This Row],[unsub]]/Table1[[#This Row],[unique-sends]]*100)*2)</f>
        <v>27.646117618645093</v>
      </c>
      <c r="P160" s="37" t="str">
        <f>IF(Table1[[#This Row],[Engagement Score]]&lt;30,"🔴",IF(Table1[[#This Row],[Engagement Score]]&lt;40,"🟡","🟢"))</f>
        <v>🔴</v>
      </c>
      <c r="Q160" s="10">
        <v>0</v>
      </c>
      <c r="R160" s="11">
        <v>0</v>
      </c>
      <c r="S160" s="11">
        <v>0</v>
      </c>
      <c r="T160" s="88"/>
    </row>
    <row r="161" spans="1:20" ht="32.1" customHeight="1">
      <c r="A161" s="80">
        <v>30</v>
      </c>
      <c r="B161" s="136" t="s">
        <v>176</v>
      </c>
      <c r="C161" s="67">
        <v>45933</v>
      </c>
      <c r="D161" s="41" t="s">
        <v>28</v>
      </c>
      <c r="E161" s="15" t="s">
        <v>25</v>
      </c>
      <c r="F161" s="19" t="s">
        <v>26</v>
      </c>
      <c r="G161" s="13">
        <v>910</v>
      </c>
      <c r="H161" s="24">
        <v>521</v>
      </c>
      <c r="I161" s="28">
        <v>35</v>
      </c>
      <c r="J161" s="16">
        <v>0</v>
      </c>
      <c r="K161" s="35">
        <f>(Table1[[#This Row],[unsub]]/Table1[[#This Row],[unique-sends]])*100</f>
        <v>0</v>
      </c>
      <c r="L161" s="21">
        <f>Table1[[#This Row],[unique-opens]] / Table1[[#This Row],[unique-sends]] * 100</f>
        <v>57.252747252747248</v>
      </c>
      <c r="M161" s="37">
        <f>Table1[[#This Row],[unique-clicks]] / Table1[[#This Row],[unique-sends]] * 100</f>
        <v>3.8461538461538463</v>
      </c>
      <c r="N161" s="37">
        <f>Table1[[#This Row],[unique-clicks]] / Table1[[#This Row],[unique-opens]] * 100</f>
        <v>6.7178502879078703</v>
      </c>
      <c r="O161" s="37">
        <f>(MIN(Table1[[#This Row],[unique-opens]]/Table1[[#This Row],[unique-sends]],1)*50
 + MIN(Table1[[#This Row],[unique-clicks]]/Table1[[#This Row],[unique-sends]],1)*50)
 * (1 + MIN(Table1[[#This Row],[unique-clicks]]/Table1[[#This Row],[unique-sends]],1))
 - ((Table1[[#This Row],[unsub]]/Table1[[#This Row],[unique-sends]]*100)*2)</f>
        <v>31.724429416737109</v>
      </c>
      <c r="P161" s="37" t="str">
        <f>IF(Table1[[#This Row],[Engagement Score]]&lt;30,"🔴",IF(Table1[[#This Row],[Engagement Score]]&lt;40,"🟡","🟢"))</f>
        <v>🟡</v>
      </c>
      <c r="Q161" s="14">
        <v>86</v>
      </c>
      <c r="R161" s="16">
        <v>10</v>
      </c>
      <c r="S161" s="16">
        <v>4</v>
      </c>
      <c r="T161" s="131" t="s">
        <v>177</v>
      </c>
    </row>
    <row r="162" spans="1:20" ht="32.1" customHeight="1">
      <c r="A162" s="80">
        <v>30</v>
      </c>
      <c r="B162" s="136" t="s">
        <v>176</v>
      </c>
      <c r="C162" s="67">
        <v>45933</v>
      </c>
      <c r="D162" s="47" t="s">
        <v>21</v>
      </c>
      <c r="E162" s="15" t="s">
        <v>25</v>
      </c>
      <c r="F162" s="19" t="s">
        <v>26</v>
      </c>
      <c r="G162" s="9">
        <v>13333</v>
      </c>
      <c r="H162" s="25">
        <v>7023</v>
      </c>
      <c r="I162" s="29">
        <v>165</v>
      </c>
      <c r="J162" s="11">
        <v>4</v>
      </c>
      <c r="K162" s="36">
        <f>(Table1[[#This Row],[unsub]]/Table1[[#This Row],[unique-sends]])*100</f>
        <v>3.0000750018750466E-2</v>
      </c>
      <c r="L162" s="6">
        <f>Table1[[#This Row],[unique-opens]] / Table1[[#This Row],[unique-sends]] * 100</f>
        <v>52.673816845421143</v>
      </c>
      <c r="M162" s="31">
        <f>Table1[[#This Row],[unique-clicks]] / Table1[[#This Row],[unique-sends]] * 100</f>
        <v>1.2375309382734569</v>
      </c>
      <c r="N162" s="37">
        <f>Table1[[#This Row],[unique-clicks]] / Table1[[#This Row],[unique-opens]] * 100</f>
        <v>2.3494233233660831</v>
      </c>
      <c r="O162" s="37">
        <f>(MIN(Table1[[#This Row],[unique-opens]]/Table1[[#This Row],[unique-sends]],1)*50
 + MIN(Table1[[#This Row],[unique-clicks]]/Table1[[#This Row],[unique-sends]],1)*50)
 * (1 + MIN(Table1[[#This Row],[unique-clicks]]/Table1[[#This Row],[unique-sends]],1))
 - ((Table1[[#This Row],[unsub]]/Table1[[#This Row],[unique-sends]]*100)*2)</f>
        <v>27.229257195841512</v>
      </c>
      <c r="P162" s="37" t="str">
        <f>IF(Table1[[#This Row],[Engagement Score]]&lt;30,"🔴",IF(Table1[[#This Row],[Engagement Score]]&lt;40,"🟡","🟢"))</f>
        <v>🔴</v>
      </c>
      <c r="Q162" s="10">
        <v>71.099999999999994</v>
      </c>
      <c r="R162" s="11">
        <v>16.5</v>
      </c>
      <c r="S162" s="11">
        <v>12.4</v>
      </c>
      <c r="T162" s="129" t="s">
        <v>178</v>
      </c>
    </row>
    <row r="163" spans="1:20" ht="32.1" customHeight="1">
      <c r="A163" s="75">
        <v>31</v>
      </c>
      <c r="B163" s="136" t="s">
        <v>179</v>
      </c>
      <c r="C163" s="67">
        <v>45936</v>
      </c>
      <c r="D163" s="38" t="s">
        <v>28</v>
      </c>
      <c r="E163" s="20" t="s">
        <v>25</v>
      </c>
      <c r="F163" s="19" t="s">
        <v>26</v>
      </c>
      <c r="G163" s="13">
        <v>221</v>
      </c>
      <c r="H163" s="24">
        <v>144</v>
      </c>
      <c r="I163" s="28">
        <v>1</v>
      </c>
      <c r="J163" s="16">
        <v>1</v>
      </c>
      <c r="K163" s="35">
        <f>(Table1[[#This Row],[unsub]]/Table1[[#This Row],[unique-sends]])*100</f>
        <v>0.45248868778280549</v>
      </c>
      <c r="L163" s="21">
        <f>Table1[[#This Row],[unique-opens]] / Table1[[#This Row],[unique-sends]] * 100</f>
        <v>65.158371040723978</v>
      </c>
      <c r="M163" s="37">
        <f>Table1[[#This Row],[unique-clicks]] / Table1[[#This Row],[unique-sends]] * 100</f>
        <v>0.45248868778280549</v>
      </c>
      <c r="N163" s="37">
        <f>Table1[[#This Row],[unique-clicks]] / Table1[[#This Row],[unique-opens]] * 100</f>
        <v>0.69444444444444442</v>
      </c>
      <c r="O163" s="37">
        <f>(MIN(Table1[[#This Row],[unique-opens]]/Table1[[#This Row],[unique-sends]],1)*50
 + MIN(Table1[[#This Row],[unique-clicks]]/Table1[[#This Row],[unique-sends]],1)*50)
 * (1 + MIN(Table1[[#This Row],[unique-clicks]]/Table1[[#This Row],[unique-sends]],1))
 - ((Table1[[#This Row],[unsub]]/Table1[[#This Row],[unique-sends]]*100)*2)</f>
        <v>32.04889334780205</v>
      </c>
      <c r="P163" s="37" t="str">
        <f>IF(Table1[[#This Row],[Engagement Score]]&lt;30,"🔴",IF(Table1[[#This Row],[Engagement Score]]&lt;40,"🟡","🟢"))</f>
        <v>🟡</v>
      </c>
      <c r="Q163" s="14">
        <v>0</v>
      </c>
      <c r="R163" s="16">
        <v>0</v>
      </c>
      <c r="S163" s="16">
        <v>0</v>
      </c>
      <c r="T163" s="131" t="s">
        <v>180</v>
      </c>
    </row>
    <row r="164" spans="1:20" ht="32.1" customHeight="1">
      <c r="A164" s="75">
        <v>31</v>
      </c>
      <c r="B164" s="136" t="s">
        <v>179</v>
      </c>
      <c r="C164" s="67">
        <v>45936</v>
      </c>
      <c r="D164" s="46" t="s">
        <v>21</v>
      </c>
      <c r="E164" s="20" t="s">
        <v>25</v>
      </c>
      <c r="F164" s="19" t="s">
        <v>26</v>
      </c>
      <c r="G164" s="9">
        <v>9656</v>
      </c>
      <c r="H164" s="25">
        <v>5855</v>
      </c>
      <c r="I164" s="29">
        <v>41</v>
      </c>
      <c r="J164" s="11">
        <v>2</v>
      </c>
      <c r="K164" s="36">
        <f>(Table1[[#This Row],[unsub]]/Table1[[#This Row],[unique-sends]])*100</f>
        <v>2.0712510356255178E-2</v>
      </c>
      <c r="L164" s="6">
        <f>Table1[[#This Row],[unique-opens]] / Table1[[#This Row],[unique-sends]] * 100</f>
        <v>60.635874067937031</v>
      </c>
      <c r="M164" s="31">
        <f>Table1[[#This Row],[unique-clicks]] / Table1[[#This Row],[unique-sends]] * 100</f>
        <v>0.42460646230323112</v>
      </c>
      <c r="N164" s="37">
        <f>Table1[[#This Row],[unique-clicks]] / Table1[[#This Row],[unique-opens]] * 100</f>
        <v>0.70025619128949623</v>
      </c>
      <c r="O164" s="37">
        <f>(MIN(Table1[[#This Row],[unique-opens]]/Table1[[#This Row],[unique-sends]],1)*50
 + MIN(Table1[[#This Row],[unique-clicks]]/Table1[[#This Row],[unique-sends]],1)*50)
 * (1 + MIN(Table1[[#This Row],[unique-clicks]]/Table1[[#This Row],[unique-sends]],1))
 - ((Table1[[#This Row],[unsub]]/Table1[[#This Row],[unique-sends]]*100)*2)</f>
        <v>30.618448617530024</v>
      </c>
      <c r="P164" s="37" t="str">
        <f>IF(Table1[[#This Row],[Engagement Score]]&lt;30,"🔴",IF(Table1[[#This Row],[Engagement Score]]&lt;40,"🟡","🟢"))</f>
        <v>🟡</v>
      </c>
      <c r="Q164" s="10">
        <v>67.599999999999994</v>
      </c>
      <c r="R164" s="11">
        <v>17.600000000000001</v>
      </c>
      <c r="S164" s="11">
        <v>14.7</v>
      </c>
      <c r="T164" s="129" t="s">
        <v>181</v>
      </c>
    </row>
    <row r="165" spans="1:20" ht="32.1" customHeight="1">
      <c r="A165" s="81">
        <v>30</v>
      </c>
      <c r="B165" s="140" t="s">
        <v>32</v>
      </c>
      <c r="C165" s="69" t="s">
        <v>182</v>
      </c>
      <c r="D165" s="54" t="s">
        <v>28</v>
      </c>
      <c r="E165" s="54" t="s">
        <v>22</v>
      </c>
      <c r="F165" s="20" t="s">
        <v>23</v>
      </c>
      <c r="G165" s="9">
        <v>182</v>
      </c>
      <c r="H165" s="25">
        <v>96</v>
      </c>
      <c r="I165" s="29">
        <v>3</v>
      </c>
      <c r="J165" s="60">
        <v>0</v>
      </c>
      <c r="K165" s="63">
        <v>0</v>
      </c>
      <c r="L165" s="21">
        <v>53</v>
      </c>
      <c r="M165" s="37">
        <v>1.65</v>
      </c>
      <c r="N165" s="37">
        <f>Table1[[#This Row],[unique-clicks]] / Table1[[#This Row],[unique-opens]] * 100</f>
        <v>3.125</v>
      </c>
      <c r="O165" s="37">
        <v>27.65</v>
      </c>
      <c r="P165" s="37" t="s">
        <v>183</v>
      </c>
      <c r="Q165" s="60">
        <v>0</v>
      </c>
      <c r="R165" s="60">
        <v>0</v>
      </c>
      <c r="S165" s="60">
        <v>0</v>
      </c>
      <c r="T165" s="87"/>
    </row>
    <row r="166" spans="1:20" ht="32.1" customHeight="1">
      <c r="A166" s="81">
        <v>30</v>
      </c>
      <c r="B166" s="140" t="s">
        <v>32</v>
      </c>
      <c r="C166" s="69" t="s">
        <v>182</v>
      </c>
      <c r="D166" s="54" t="s">
        <v>21</v>
      </c>
      <c r="E166" s="54" t="s">
        <v>22</v>
      </c>
      <c r="F166" s="20" t="s">
        <v>23</v>
      </c>
      <c r="G166" s="9">
        <v>3920</v>
      </c>
      <c r="H166" s="25">
        <v>2841</v>
      </c>
      <c r="I166" s="29">
        <v>108</v>
      </c>
      <c r="J166" s="60">
        <v>15</v>
      </c>
      <c r="K166" s="63">
        <v>0.38</v>
      </c>
      <c r="L166" s="21">
        <v>72</v>
      </c>
      <c r="M166" s="37">
        <v>2.76</v>
      </c>
      <c r="N166" s="37">
        <f>Table1[[#This Row],[unique-clicks]] / Table1[[#This Row],[unique-opens]] * 100</f>
        <v>3.8014783526927136</v>
      </c>
      <c r="O166" s="37">
        <v>37.89</v>
      </c>
      <c r="P166" s="37" t="s">
        <v>184</v>
      </c>
      <c r="Q166" s="60">
        <v>0</v>
      </c>
      <c r="R166" s="60">
        <v>0</v>
      </c>
      <c r="S166" s="60">
        <v>0</v>
      </c>
      <c r="T166" s="87" t="s">
        <v>185</v>
      </c>
    </row>
    <row r="167" spans="1:20" ht="32.1" customHeight="1">
      <c r="A167" s="74">
        <v>79</v>
      </c>
      <c r="B167" s="140" t="s">
        <v>39</v>
      </c>
      <c r="C167" s="69" t="s">
        <v>182</v>
      </c>
      <c r="D167" s="54" t="s">
        <v>21</v>
      </c>
      <c r="E167" s="54" t="s">
        <v>22</v>
      </c>
      <c r="F167" s="20" t="s">
        <v>23</v>
      </c>
      <c r="G167" s="9">
        <v>40961</v>
      </c>
      <c r="H167" s="25">
        <v>22099</v>
      </c>
      <c r="I167" s="29">
        <v>3708</v>
      </c>
      <c r="J167" s="60">
        <v>9</v>
      </c>
      <c r="K167" s="35">
        <f>(Table1[[#This Row],[unsub]]/Table1[[#This Row],[unique-sends]])*100</f>
        <v>2.1972119821293424E-2</v>
      </c>
      <c r="L167" s="21">
        <f>Table1[[#This Row],[unique-opens]] / Table1[[#This Row],[unique-sends]] * 100</f>
        <v>53.951319547862596</v>
      </c>
      <c r="M167" s="37">
        <f>Table1[[#This Row],[unique-clicks]] / Table1[[#This Row],[unique-sends]] * 100</f>
        <v>9.0525133663728905</v>
      </c>
      <c r="N167" s="37">
        <f>Table1[[#This Row],[unique-clicks]] / Table1[[#This Row],[unique-opens]] * 100</f>
        <v>16.779039775555454</v>
      </c>
      <c r="O167" s="37">
        <f>(MIN(Table1[[#This Row],[unique-opens]]/Table1[[#This Row],[unique-sends]],1)*50
 + MIN(Table1[[#This Row],[unique-clicks]]/Table1[[#This Row],[unique-sends]],1)*50)
 * (1 + MIN(Table1[[#This Row],[unique-clicks]]/Table1[[#This Row],[unique-sends]],1))
 - ((Table1[[#This Row],[unsub]]/Table1[[#This Row],[unique-sends]]*100)*2)</f>
        <v>34.309687415419369</v>
      </c>
      <c r="P167" s="37" t="str">
        <f>IF(Table1[[#This Row],[Engagement Score]]&lt;30,"🔴",IF(Table1[[#This Row],[Engagement Score]]&lt;40,"🟡","🟢"))</f>
        <v>🟡</v>
      </c>
      <c r="Q167" s="60"/>
      <c r="R167" s="60"/>
      <c r="S167" s="60"/>
      <c r="T167" s="87"/>
    </row>
    <row r="168" spans="1:20" ht="32.1" customHeight="1">
      <c r="A168" s="81">
        <v>45</v>
      </c>
      <c r="B168" s="140" t="s">
        <v>39</v>
      </c>
      <c r="C168" s="69" t="s">
        <v>182</v>
      </c>
      <c r="D168" s="54" t="s">
        <v>28</v>
      </c>
      <c r="E168" s="54" t="s">
        <v>22</v>
      </c>
      <c r="F168" s="20" t="s">
        <v>23</v>
      </c>
      <c r="G168" s="9">
        <v>1642</v>
      </c>
      <c r="H168" s="25">
        <v>967</v>
      </c>
      <c r="I168" s="29">
        <v>124</v>
      </c>
      <c r="J168" s="60">
        <v>0</v>
      </c>
      <c r="K168" s="35">
        <f>(Table1[[#This Row],[unsub]]/Table1[[#This Row],[unique-sends]])*100</f>
        <v>0</v>
      </c>
      <c r="L168" s="21">
        <f>Table1[[#This Row],[unique-opens]] / Table1[[#This Row],[unique-sends]] * 100</f>
        <v>58.891595615103533</v>
      </c>
      <c r="M168" s="37">
        <f>Table1[[#This Row],[unique-clicks]] / Table1[[#This Row],[unique-sends]] * 100</f>
        <v>7.5517661388550552</v>
      </c>
      <c r="N168" s="37">
        <f>Table1[[#This Row],[unique-clicks]] / Table1[[#This Row],[unique-opens]] * 100</f>
        <v>12.82316442605998</v>
      </c>
      <c r="O168" s="37">
        <f>(MIN(Table1[[#This Row],[unique-opens]]/Table1[[#This Row],[unique-sends]],1)*50
 + MIN(Table1[[#This Row],[unique-clicks]]/Table1[[#This Row],[unique-sends]],1)*50)
 * (1 + MIN(Table1[[#This Row],[unique-clicks]]/Table1[[#This Row],[unique-sends]],1))
 - ((Table1[[#This Row],[unsub]]/Table1[[#This Row],[unique-sends]]*100)*2)</f>
        <v>35.7305045242055</v>
      </c>
      <c r="P168" s="37" t="str">
        <f>IF(Table1[[#This Row],[Engagement Score]]&lt;30,"🔴",IF(Table1[[#This Row],[Engagement Score]]&lt;40,"🟡","🟢"))</f>
        <v>🟡</v>
      </c>
      <c r="Q168" s="60" t="s">
        <v>185</v>
      </c>
      <c r="R168" s="60" t="s">
        <v>185</v>
      </c>
      <c r="S168" s="60" t="s">
        <v>185</v>
      </c>
      <c r="T168" s="87" t="s">
        <v>185</v>
      </c>
    </row>
    <row r="169" spans="1:20" ht="32.1" customHeight="1">
      <c r="A169" s="81">
        <v>46</v>
      </c>
      <c r="B169" s="140" t="s">
        <v>40</v>
      </c>
      <c r="C169" s="69" t="s">
        <v>182</v>
      </c>
      <c r="D169" s="54" t="s">
        <v>21</v>
      </c>
      <c r="E169" s="54" t="s">
        <v>22</v>
      </c>
      <c r="F169" s="20" t="s">
        <v>23</v>
      </c>
      <c r="G169" s="9">
        <v>18787</v>
      </c>
      <c r="H169" s="25">
        <v>10074</v>
      </c>
      <c r="I169" s="29">
        <v>1803</v>
      </c>
      <c r="J169" s="60">
        <v>3</v>
      </c>
      <c r="K169" s="35">
        <f>(Table1[[#This Row],[unsub]]/Table1[[#This Row],[unique-sends]])*100</f>
        <v>1.5968488848671955E-2</v>
      </c>
      <c r="L169" s="21">
        <f>Table1[[#This Row],[unique-opens]] / Table1[[#This Row],[unique-sends]] * 100</f>
        <v>53.622185553840417</v>
      </c>
      <c r="M169" s="37">
        <f>Table1[[#This Row],[unique-clicks]] / Table1[[#This Row],[unique-sends]] * 100</f>
        <v>9.5970617980518433</v>
      </c>
      <c r="N169" s="37">
        <f>Table1[[#This Row],[unique-clicks]] / Table1[[#This Row],[unique-opens]] * 100</f>
        <v>17.897558070279928</v>
      </c>
      <c r="O169" s="37">
        <f>(MIN(Table1[[#This Row],[unique-opens]]/Table1[[#This Row],[unique-sends]],1)*50
 + MIN(Table1[[#This Row],[unique-clicks]]/Table1[[#This Row],[unique-sends]],1)*50)
 * (1 + MIN(Table1[[#This Row],[unique-clicks]]/Table1[[#This Row],[unique-sends]],1))
 - ((Table1[[#This Row],[unsub]]/Table1[[#This Row],[unique-sends]]*100)*2)</f>
        <v>34.611281816560968</v>
      </c>
      <c r="P169" s="37" t="str">
        <f>IF(Table1[[#This Row],[Engagement Score]]&lt;30,"🔴",IF(Table1[[#This Row],[Engagement Score]]&lt;40,"🟡","🟢"))</f>
        <v>🟡</v>
      </c>
      <c r="Q169" s="60"/>
      <c r="R169" s="60"/>
      <c r="S169" s="60"/>
      <c r="T169" s="87"/>
    </row>
    <row r="170" spans="1:20" ht="32.1" customHeight="1">
      <c r="A170" s="81">
        <v>45</v>
      </c>
      <c r="B170" s="140" t="s">
        <v>40</v>
      </c>
      <c r="C170" s="69" t="s">
        <v>182</v>
      </c>
      <c r="D170" s="54" t="s">
        <v>28</v>
      </c>
      <c r="E170" s="54" t="s">
        <v>22</v>
      </c>
      <c r="F170" s="20" t="s">
        <v>23</v>
      </c>
      <c r="G170" s="9">
        <v>680</v>
      </c>
      <c r="H170" s="25">
        <v>434</v>
      </c>
      <c r="I170" s="29">
        <v>88</v>
      </c>
      <c r="J170" s="60">
        <v>0</v>
      </c>
      <c r="K170" s="35">
        <f>(Table1[[#This Row],[unsub]]/Table1[[#This Row],[unique-sends]])*100</f>
        <v>0</v>
      </c>
      <c r="L170" s="21">
        <f>Table1[[#This Row],[unique-opens]] / Table1[[#This Row],[unique-sends]] * 100</f>
        <v>63.823529411764703</v>
      </c>
      <c r="M170" s="37">
        <f>Table1[[#This Row],[unique-clicks]] / Table1[[#This Row],[unique-sends]] * 100</f>
        <v>12.941176470588237</v>
      </c>
      <c r="N170" s="37">
        <f>Table1[[#This Row],[unique-clicks]] / Table1[[#This Row],[unique-opens]] * 100</f>
        <v>20.276497695852534</v>
      </c>
      <c r="O170" s="37">
        <f>(MIN(Table1[[#This Row],[unique-opens]]/Table1[[#This Row],[unique-sends]],1)*50
 + MIN(Table1[[#This Row],[unique-clicks]]/Table1[[#This Row],[unique-sends]],1)*50)
 * (1 + MIN(Table1[[#This Row],[unique-clicks]]/Table1[[#This Row],[unique-sends]],1))
 - ((Table1[[#This Row],[unsub]]/Table1[[#This Row],[unique-sends]]*100)*2)</f>
        <v>43.349480968858131</v>
      </c>
      <c r="P170" s="37" t="str">
        <f>IF(Table1[[#This Row],[Engagement Score]]&lt;30,"🔴",IF(Table1[[#This Row],[Engagement Score]]&lt;40,"🟡","🟢"))</f>
        <v>🟢</v>
      </c>
      <c r="Q170" s="60" t="s">
        <v>185</v>
      </c>
      <c r="R170" s="60" t="s">
        <v>185</v>
      </c>
      <c r="S170" s="60" t="s">
        <v>185</v>
      </c>
      <c r="T170" s="87" t="s">
        <v>185</v>
      </c>
    </row>
    <row r="171" spans="1:20" ht="32.1" customHeight="1">
      <c r="A171" s="81">
        <v>49</v>
      </c>
      <c r="B171" s="140" t="s">
        <v>186</v>
      </c>
      <c r="C171" s="69" t="s">
        <v>182</v>
      </c>
      <c r="D171" s="54" t="s">
        <v>28</v>
      </c>
      <c r="E171" s="54" t="s">
        <v>22</v>
      </c>
      <c r="F171" s="20" t="s">
        <v>23</v>
      </c>
      <c r="G171" s="9">
        <v>158</v>
      </c>
      <c r="H171" s="25">
        <v>118</v>
      </c>
      <c r="I171" s="29">
        <v>9</v>
      </c>
      <c r="J171" s="60">
        <v>0</v>
      </c>
      <c r="K171" s="35">
        <f>(Table1[[#This Row],[unsub]]/Table1[[#This Row],[unique-sends]])*100</f>
        <v>0</v>
      </c>
      <c r="L171" s="21">
        <f>Table1[[#This Row],[unique-opens]] / Table1[[#This Row],[unique-sends]] * 100</f>
        <v>74.683544303797461</v>
      </c>
      <c r="M171" s="37">
        <f>Table1[[#This Row],[unique-clicks]] / Table1[[#This Row],[unique-sends]] * 100</f>
        <v>5.6962025316455698</v>
      </c>
      <c r="N171" s="37">
        <f>Table1[[#This Row],[unique-clicks]] / Table1[[#This Row],[unique-opens]] * 100</f>
        <v>7.6271186440677967</v>
      </c>
      <c r="O171" s="37">
        <f>(MIN(Table1[[#This Row],[unique-opens]]/Table1[[#This Row],[unique-sends]],1)*50
 + MIN(Table1[[#This Row],[unique-clicks]]/Table1[[#This Row],[unique-sends]],1)*50)
 * (1 + MIN(Table1[[#This Row],[unique-clicks]]/Table1[[#This Row],[unique-sends]],1))
 - ((Table1[[#This Row],[unsub]]/Table1[[#This Row],[unique-sends]]*100)*2)</f>
        <v>42.479170004806917</v>
      </c>
      <c r="P171" s="37" t="str">
        <f>IF(Table1[[#This Row],[Engagement Score]]&lt;30,"🔴",IF(Table1[[#This Row],[Engagement Score]]&lt;40,"🟡","🟢"))</f>
        <v>🟢</v>
      </c>
      <c r="Q171" s="60"/>
      <c r="R171" s="60"/>
      <c r="S171" s="60"/>
      <c r="T171" s="87"/>
    </row>
    <row r="172" spans="1:20" ht="32.1" customHeight="1">
      <c r="A172" s="81">
        <v>48</v>
      </c>
      <c r="B172" s="140" t="s">
        <v>187</v>
      </c>
      <c r="C172" s="69" t="s">
        <v>182</v>
      </c>
      <c r="D172" s="54" t="s">
        <v>28</v>
      </c>
      <c r="E172" s="54" t="s">
        <v>22</v>
      </c>
      <c r="F172" s="20" t="s">
        <v>23</v>
      </c>
      <c r="G172" s="9">
        <v>141</v>
      </c>
      <c r="H172" s="25">
        <v>130</v>
      </c>
      <c r="I172" s="29">
        <v>15</v>
      </c>
      <c r="J172" s="60">
        <v>1</v>
      </c>
      <c r="K172" s="35">
        <f>(Table1[[#This Row],[unsub]]/Table1[[#This Row],[unique-sends]])*100</f>
        <v>0.70921985815602839</v>
      </c>
      <c r="L172" s="21">
        <f>Table1[[#This Row],[unique-opens]] / Table1[[#This Row],[unique-sends]] * 100</f>
        <v>92.198581560283685</v>
      </c>
      <c r="M172" s="37">
        <f>Table1[[#This Row],[unique-clicks]] / Table1[[#This Row],[unique-sends]] * 100</f>
        <v>10.638297872340425</v>
      </c>
      <c r="N172" s="37">
        <f>Table1[[#This Row],[unique-clicks]] / Table1[[#This Row],[unique-opens]] * 100</f>
        <v>11.538461538461538</v>
      </c>
      <c r="O172" s="37">
        <f>(MIN(Table1[[#This Row],[unique-opens]]/Table1[[#This Row],[unique-sends]],1)*50
 + MIN(Table1[[#This Row],[unique-clicks]]/Table1[[#This Row],[unique-sends]],1)*50)
 * (1 + MIN(Table1[[#This Row],[unique-clicks]]/Table1[[#This Row],[unique-sends]],1))
 - ((Table1[[#This Row],[unsub]]/Table1[[#This Row],[unique-sends]]*100)*2)</f>
        <v>55.470046778331074</v>
      </c>
      <c r="P172" s="37" t="str">
        <f>IF(Table1[[#This Row],[Engagement Score]]&lt;30,"🔴",IF(Table1[[#This Row],[Engagement Score]]&lt;40,"🟡","🟢"))</f>
        <v>🟢</v>
      </c>
      <c r="Q172" s="60" t="s">
        <v>185</v>
      </c>
      <c r="R172" s="60" t="s">
        <v>185</v>
      </c>
      <c r="S172" s="60" t="s">
        <v>185</v>
      </c>
      <c r="T172" s="87" t="s">
        <v>185</v>
      </c>
    </row>
    <row r="173" spans="1:20" ht="32.1" customHeight="1">
      <c r="A173" s="74">
        <v>50</v>
      </c>
      <c r="B173" s="140" t="s">
        <v>188</v>
      </c>
      <c r="C173" s="69" t="s">
        <v>182</v>
      </c>
      <c r="D173" s="54" t="s">
        <v>21</v>
      </c>
      <c r="E173" s="54" t="s">
        <v>22</v>
      </c>
      <c r="F173" s="20" t="s">
        <v>23</v>
      </c>
      <c r="G173" s="9">
        <v>3312</v>
      </c>
      <c r="H173" s="25">
        <v>2731</v>
      </c>
      <c r="I173" s="29">
        <v>149</v>
      </c>
      <c r="J173" s="60">
        <v>14</v>
      </c>
      <c r="K173" s="35">
        <f>(Table1[[#This Row],[unsub]]/Table1[[#This Row],[unique-sends]])*100</f>
        <v>0.42270531400966183</v>
      </c>
      <c r="L173" s="21">
        <f>Table1[[#This Row],[unique-opens]] / Table1[[#This Row],[unique-sends]] * 100</f>
        <v>82.457729468599041</v>
      </c>
      <c r="M173" s="37">
        <f>Table1[[#This Row],[unique-clicks]] / Table1[[#This Row],[unique-sends]] * 100</f>
        <v>4.4987922705314007</v>
      </c>
      <c r="N173" s="37">
        <f>Table1[[#This Row],[unique-clicks]] / Table1[[#This Row],[unique-opens]] * 100</f>
        <v>5.4558769681435377</v>
      </c>
      <c r="O173" s="37">
        <f>(MIN(Table1[[#This Row],[unique-opens]]/Table1[[#This Row],[unique-sends]],1)*50
 + MIN(Table1[[#This Row],[unique-clicks]]/Table1[[#This Row],[unique-sends]],1)*50)
 * (1 + MIN(Table1[[#This Row],[unique-clicks]]/Table1[[#This Row],[unique-sends]],1))
 - ((Table1[[#This Row],[unsub]]/Table1[[#This Row],[unique-sends]]*100)*2)</f>
        <v>44.588846880907376</v>
      </c>
      <c r="P173" s="37" t="str">
        <f>IF(Table1[[#This Row],[Engagement Score]]&lt;30,"🔴",IF(Table1[[#This Row],[Engagement Score]]&lt;40,"🟡","🟢"))</f>
        <v>🟢</v>
      </c>
      <c r="Q173" s="60"/>
      <c r="R173" s="60"/>
      <c r="S173" s="60"/>
      <c r="T173" s="87"/>
    </row>
    <row r="174" spans="1:20" ht="32.1" customHeight="1">
      <c r="A174" s="75">
        <v>47</v>
      </c>
      <c r="B174" s="140" t="s">
        <v>187</v>
      </c>
      <c r="C174" s="69" t="s">
        <v>182</v>
      </c>
      <c r="D174" s="54" t="s">
        <v>21</v>
      </c>
      <c r="E174" s="54" t="s">
        <v>22</v>
      </c>
      <c r="F174" s="20" t="s">
        <v>23</v>
      </c>
      <c r="G174" s="9">
        <v>2740</v>
      </c>
      <c r="H174" s="25">
        <v>2507</v>
      </c>
      <c r="I174" s="29">
        <v>219</v>
      </c>
      <c r="J174" s="60">
        <v>8</v>
      </c>
      <c r="K174" s="35">
        <f>(Table1[[#This Row],[unsub]]/Table1[[#This Row],[unique-sends]])*100</f>
        <v>0.29197080291970801</v>
      </c>
      <c r="L174" s="21">
        <f>Table1[[#This Row],[unique-opens]] / Table1[[#This Row],[unique-sends]] * 100</f>
        <v>91.496350364963504</v>
      </c>
      <c r="M174" s="37">
        <f>Table1[[#This Row],[unique-clicks]] / Table1[[#This Row],[unique-sends]] * 100</f>
        <v>7.9927007299270079</v>
      </c>
      <c r="N174" s="37">
        <f>Table1[[#This Row],[unique-clicks]] / Table1[[#This Row],[unique-opens]] * 100</f>
        <v>8.7355404866374151</v>
      </c>
      <c r="O174" s="37">
        <f>(MIN(Table1[[#This Row],[unique-opens]]/Table1[[#This Row],[unique-sends]],1)*50
 + MIN(Table1[[#This Row],[unique-clicks]]/Table1[[#This Row],[unique-sends]],1)*50)
 * (1 + MIN(Table1[[#This Row],[unique-clicks]]/Table1[[#This Row],[unique-sends]],1))
 - ((Table1[[#This Row],[unsub]]/Table1[[#This Row],[unique-sends]]*100)*2)</f>
        <v>53.136514998135233</v>
      </c>
      <c r="P174" s="37" t="str">
        <f>IF(Table1[[#This Row],[Engagement Score]]&lt;30,"🔴",IF(Table1[[#This Row],[Engagement Score]]&lt;40,"🟡","🟢"))</f>
        <v>🟢</v>
      </c>
      <c r="Q174" s="60" t="s">
        <v>185</v>
      </c>
      <c r="R174" s="60" t="s">
        <v>185</v>
      </c>
      <c r="S174" s="60" t="s">
        <v>185</v>
      </c>
      <c r="T174" s="87" t="s">
        <v>185</v>
      </c>
    </row>
    <row r="175" spans="1:20" ht="32.1" customHeight="1">
      <c r="A175" s="75">
        <v>43</v>
      </c>
      <c r="B175" s="140" t="s">
        <v>38</v>
      </c>
      <c r="C175" s="69" t="s">
        <v>182</v>
      </c>
      <c r="D175" s="54" t="s">
        <v>21</v>
      </c>
      <c r="E175" s="54" t="s">
        <v>22</v>
      </c>
      <c r="F175" s="20" t="s">
        <v>23</v>
      </c>
      <c r="G175" s="9">
        <v>108</v>
      </c>
      <c r="H175" s="25">
        <v>80</v>
      </c>
      <c r="I175" s="29">
        <v>8</v>
      </c>
      <c r="J175" s="60">
        <v>0</v>
      </c>
      <c r="K175" s="35">
        <f>(Table1[[#This Row],[unsub]]/Table1[[#This Row],[unique-sends]])*100</f>
        <v>0</v>
      </c>
      <c r="L175" s="21">
        <f>Table1[[#This Row],[unique-opens]] / Table1[[#This Row],[unique-sends]] * 100</f>
        <v>74.074074074074076</v>
      </c>
      <c r="M175" s="37">
        <f>Table1[[#This Row],[unique-clicks]] / Table1[[#This Row],[unique-sends]] * 100</f>
        <v>7.4074074074074066</v>
      </c>
      <c r="N175" s="37">
        <f>Table1[[#This Row],[unique-clicks]] / Table1[[#This Row],[unique-opens]] * 100</f>
        <v>10</v>
      </c>
      <c r="O175" s="37">
        <f>(MIN(Table1[[#This Row],[unique-opens]]/Table1[[#This Row],[unique-sends]],1)*50
 + MIN(Table1[[#This Row],[unique-clicks]]/Table1[[#This Row],[unique-sends]],1)*50)
 * (1 + MIN(Table1[[#This Row],[unique-clicks]]/Table1[[#This Row],[unique-sends]],1))
 - ((Table1[[#This Row],[unsub]]/Table1[[#This Row],[unique-sends]]*100)*2)</f>
        <v>43.758573388203011</v>
      </c>
      <c r="P175" s="37" t="str">
        <f>IF(Table1[[#This Row],[Engagement Score]]&lt;30,"🔴",IF(Table1[[#This Row],[Engagement Score]]&lt;40,"🟡","🟢"))</f>
        <v>🟢</v>
      </c>
      <c r="Q175" s="60"/>
      <c r="R175" s="60"/>
      <c r="S175" s="60"/>
      <c r="T175" s="87"/>
    </row>
    <row r="176" spans="1:20" ht="32.1" customHeight="1">
      <c r="A176" s="74">
        <v>44</v>
      </c>
      <c r="B176" s="140" t="s">
        <v>37</v>
      </c>
      <c r="C176" s="69" t="s">
        <v>182</v>
      </c>
      <c r="D176" s="54" t="s">
        <v>21</v>
      </c>
      <c r="E176" s="54" t="s">
        <v>22</v>
      </c>
      <c r="F176" s="20" t="s">
        <v>23</v>
      </c>
      <c r="G176" s="9">
        <v>788</v>
      </c>
      <c r="H176" s="25">
        <v>532</v>
      </c>
      <c r="I176" s="29">
        <v>48</v>
      </c>
      <c r="J176" s="60">
        <v>1</v>
      </c>
      <c r="K176" s="35">
        <f>(Table1[[#This Row],[unsub]]/Table1[[#This Row],[unique-sends]])*100</f>
        <v>0.12690355329949238</v>
      </c>
      <c r="L176" s="21">
        <f>Table1[[#This Row],[unique-opens]] / Table1[[#This Row],[unique-sends]] * 100</f>
        <v>67.512690355329951</v>
      </c>
      <c r="M176" s="37">
        <f>Table1[[#This Row],[unique-clicks]] / Table1[[#This Row],[unique-sends]] * 100</f>
        <v>6.091370558375635</v>
      </c>
      <c r="N176" s="37">
        <f>Table1[[#This Row],[unique-clicks]] / Table1[[#This Row],[unique-opens]] * 100</f>
        <v>9.0225563909774422</v>
      </c>
      <c r="O176" s="37">
        <f>(MIN(Table1[[#This Row],[unique-opens]]/Table1[[#This Row],[unique-sends]],1)*50
 + MIN(Table1[[#This Row],[unique-clicks]]/Table1[[#This Row],[unique-sends]],1)*50)
 * (1 + MIN(Table1[[#This Row],[unique-clicks]]/Table1[[#This Row],[unique-sends]],1))
 - ((Table1[[#This Row],[unsub]]/Table1[[#This Row],[unique-sends]]*100)*2)</f>
        <v>38.789971398386967</v>
      </c>
      <c r="P176" s="37" t="str">
        <f>IF(Table1[[#This Row],[Engagement Score]]&lt;30,"🔴",IF(Table1[[#This Row],[Engagement Score]]&lt;40,"🟡","🟢"))</f>
        <v>🟡</v>
      </c>
      <c r="Q176" s="60" t="s">
        <v>185</v>
      </c>
      <c r="R176" s="60" t="s">
        <v>185</v>
      </c>
      <c r="S176" s="60" t="s">
        <v>185</v>
      </c>
      <c r="T176" s="87" t="s">
        <v>185</v>
      </c>
    </row>
    <row r="177" spans="1:20" ht="32.1" customHeight="1">
      <c r="A177" s="75">
        <v>38</v>
      </c>
      <c r="B177" s="140" t="s">
        <v>33</v>
      </c>
      <c r="C177" s="69" t="s">
        <v>182</v>
      </c>
      <c r="D177" s="54" t="s">
        <v>21</v>
      </c>
      <c r="E177" s="54" t="s">
        <v>22</v>
      </c>
      <c r="F177" s="20" t="s">
        <v>23</v>
      </c>
      <c r="G177" s="9">
        <v>155</v>
      </c>
      <c r="H177" s="25">
        <v>150</v>
      </c>
      <c r="I177" s="29">
        <v>35</v>
      </c>
      <c r="J177" s="60">
        <v>1</v>
      </c>
      <c r="K177" s="35">
        <f>(Table1[[#This Row],[unsub]]/Table1[[#This Row],[unique-sends]])*100</f>
        <v>0.64516129032258063</v>
      </c>
      <c r="L177" s="21">
        <f>Table1[[#This Row],[unique-opens]] / Table1[[#This Row],[unique-sends]] * 100</f>
        <v>96.774193548387103</v>
      </c>
      <c r="M177" s="37">
        <f>Table1[[#This Row],[unique-clicks]] / Table1[[#This Row],[unique-sends]] * 100</f>
        <v>22.58064516129032</v>
      </c>
      <c r="N177" s="37">
        <f>Table1[[#This Row],[unique-clicks]] / Table1[[#This Row],[unique-opens]] * 100</f>
        <v>23.333333333333332</v>
      </c>
      <c r="O177" s="37">
        <f>(MIN(Table1[[#This Row],[unique-opens]]/Table1[[#This Row],[unique-sends]],1)*50
 + MIN(Table1[[#This Row],[unique-clicks]]/Table1[[#This Row],[unique-sends]],1)*50)
 * (1 + MIN(Table1[[#This Row],[unique-clicks]]/Table1[[#This Row],[unique-sends]],1))
 - ((Table1[[#This Row],[unsub]]/Table1[[#This Row],[unique-sends]]*100)*2)</f>
        <v>71.862643080124869</v>
      </c>
      <c r="P177" s="37" t="str">
        <f>IF(Table1[[#This Row],[Engagement Score]]&lt;30,"🔴",IF(Table1[[#This Row],[Engagement Score]]&lt;40,"🟡","🟢"))</f>
        <v>🟢</v>
      </c>
      <c r="Q177" s="60"/>
      <c r="R177" s="60"/>
      <c r="S177" s="60"/>
      <c r="T177" s="87"/>
    </row>
    <row r="178" spans="1:20" ht="32.1" customHeight="1">
      <c r="A178" s="81">
        <v>39</v>
      </c>
      <c r="B178" s="140" t="s">
        <v>33</v>
      </c>
      <c r="C178" s="69" t="s">
        <v>182</v>
      </c>
      <c r="D178" s="54" t="s">
        <v>28</v>
      </c>
      <c r="E178" s="54" t="s">
        <v>22</v>
      </c>
      <c r="F178" s="20" t="s">
        <v>23</v>
      </c>
      <c r="G178" s="9">
        <v>9</v>
      </c>
      <c r="H178" s="25">
        <v>10</v>
      </c>
      <c r="I178" s="29">
        <v>3</v>
      </c>
      <c r="J178" s="60">
        <v>0</v>
      </c>
      <c r="K178" s="35">
        <f>(Table1[[#This Row],[unsub]]/Table1[[#This Row],[unique-sends]])*100</f>
        <v>0</v>
      </c>
      <c r="L178" s="21">
        <f>Table1[[#This Row],[unique-opens]] / Table1[[#This Row],[unique-sends]] * 100</f>
        <v>111.11111111111111</v>
      </c>
      <c r="M178" s="37">
        <f>Table1[[#This Row],[unique-clicks]] / Table1[[#This Row],[unique-sends]] * 100</f>
        <v>33.333333333333329</v>
      </c>
      <c r="N178" s="37">
        <f>Table1[[#This Row],[unique-clicks]] / Table1[[#This Row],[unique-opens]] * 100</f>
        <v>30</v>
      </c>
      <c r="O178" s="37">
        <f>(MIN(Table1[[#This Row],[unique-opens]]/Table1[[#This Row],[unique-sends]],1)*50
 + MIN(Table1[[#This Row],[unique-clicks]]/Table1[[#This Row],[unique-sends]],1)*50)
 * (1 + MIN(Table1[[#This Row],[unique-clicks]]/Table1[[#This Row],[unique-sends]],1))
 - ((Table1[[#This Row],[unsub]]/Table1[[#This Row],[unique-sends]]*100)*2)</f>
        <v>88.888888888888872</v>
      </c>
      <c r="P178" s="37" t="str">
        <f>IF(Table1[[#This Row],[Engagement Score]]&lt;30,"🔴",IF(Table1[[#This Row],[Engagement Score]]&lt;40,"🟡","🟢"))</f>
        <v>🟢</v>
      </c>
      <c r="Q178" s="60" t="s">
        <v>185</v>
      </c>
      <c r="R178" s="60" t="s">
        <v>185</v>
      </c>
      <c r="S178" s="60" t="s">
        <v>185</v>
      </c>
      <c r="T178" s="87" t="s">
        <v>185</v>
      </c>
    </row>
    <row r="179" spans="1:20" ht="32.1" customHeight="1">
      <c r="A179" s="74">
        <v>35</v>
      </c>
      <c r="B179" s="140" t="s">
        <v>31</v>
      </c>
      <c r="C179" s="69" t="s">
        <v>182</v>
      </c>
      <c r="D179" s="54" t="s">
        <v>21</v>
      </c>
      <c r="E179" s="54" t="s">
        <v>22</v>
      </c>
      <c r="F179" s="20" t="s">
        <v>23</v>
      </c>
      <c r="G179" s="9">
        <v>26581</v>
      </c>
      <c r="H179" s="25">
        <v>13349</v>
      </c>
      <c r="I179" s="29">
        <v>1641</v>
      </c>
      <c r="J179" s="60">
        <v>39</v>
      </c>
      <c r="K179" s="35">
        <f>(Table1[[#This Row],[unsub]]/Table1[[#This Row],[unique-sends]])*100</f>
        <v>0.14672134231217787</v>
      </c>
      <c r="L179" s="21">
        <f>Table1[[#This Row],[unique-opens]] / Table1[[#This Row],[unique-sends]] * 100</f>
        <v>50.220082013468271</v>
      </c>
      <c r="M179" s="37">
        <f>Table1[[#This Row],[unique-clicks]] / Table1[[#This Row],[unique-sends]] * 100</f>
        <v>6.1735826342124076</v>
      </c>
      <c r="N179" s="37">
        <f>Table1[[#This Row],[unique-clicks]] / Table1[[#This Row],[unique-opens]] * 100</f>
        <v>12.29305565959997</v>
      </c>
      <c r="O179" s="37">
        <f>(MIN(Table1[[#This Row],[unique-opens]]/Table1[[#This Row],[unique-sends]],1)*50
 + MIN(Table1[[#This Row],[unique-clicks]]/Table1[[#This Row],[unique-sends]],1)*50)
 * (1 + MIN(Table1[[#This Row],[unique-clicks]]/Table1[[#This Row],[unique-sends]],1))
 - ((Table1[[#This Row],[unsub]]/Table1[[#This Row],[unique-sends]]*100)*2)</f>
        <v>29.644144382958583</v>
      </c>
      <c r="P179" s="37" t="str">
        <f>IF(Table1[[#This Row],[Engagement Score]]&lt;30,"🔴",IF(Table1[[#This Row],[Engagement Score]]&lt;40,"🟡","🟢"))</f>
        <v>🔴</v>
      </c>
      <c r="Q179" s="60"/>
      <c r="R179" s="60"/>
      <c r="S179" s="60"/>
      <c r="T179" s="87"/>
    </row>
    <row r="180" spans="1:20" ht="32.1" customHeight="1">
      <c r="A180" s="75">
        <v>36</v>
      </c>
      <c r="B180" s="140" t="s">
        <v>31</v>
      </c>
      <c r="C180" s="69" t="s">
        <v>182</v>
      </c>
      <c r="D180" s="54" t="s">
        <v>28</v>
      </c>
      <c r="E180" s="54" t="s">
        <v>22</v>
      </c>
      <c r="F180" s="20" t="s">
        <v>23</v>
      </c>
      <c r="G180" s="9">
        <v>1043</v>
      </c>
      <c r="H180" s="25">
        <v>696</v>
      </c>
      <c r="I180" s="29">
        <v>146</v>
      </c>
      <c r="J180" s="60">
        <v>0</v>
      </c>
      <c r="K180" s="35">
        <f>(Table1[[#This Row],[unsub]]/Table1[[#This Row],[unique-sends]])*100</f>
        <v>0</v>
      </c>
      <c r="L180" s="21">
        <f>Table1[[#This Row],[unique-opens]] / Table1[[#This Row],[unique-sends]] * 100</f>
        <v>66.730584851390219</v>
      </c>
      <c r="M180" s="37">
        <f>Table1[[#This Row],[unique-clicks]] / Table1[[#This Row],[unique-sends]] * 100</f>
        <v>13.998082454458293</v>
      </c>
      <c r="N180" s="37">
        <f>Table1[[#This Row],[unique-clicks]] / Table1[[#This Row],[unique-opens]] * 100</f>
        <v>20.977011494252874</v>
      </c>
      <c r="O180" s="37">
        <f>(MIN(Table1[[#This Row],[unique-opens]]/Table1[[#This Row],[unique-sends]],1)*50
 + MIN(Table1[[#This Row],[unique-clicks]]/Table1[[#This Row],[unique-sends]],1)*50)
 * (1 + MIN(Table1[[#This Row],[unique-clicks]]/Table1[[#This Row],[unique-sends]],1))
 - ((Table1[[#This Row],[unsub]]/Table1[[#This Row],[unique-sends]]*100)*2)</f>
        <v>46.014566359853248</v>
      </c>
      <c r="P180" s="37" t="str">
        <f>IF(Table1[[#This Row],[Engagement Score]]&lt;30,"🔴",IF(Table1[[#This Row],[Engagement Score]]&lt;40,"🟡","🟢"))</f>
        <v>🟢</v>
      </c>
      <c r="Q180" s="60" t="s">
        <v>185</v>
      </c>
      <c r="R180" s="60" t="s">
        <v>185</v>
      </c>
      <c r="S180" s="60" t="s">
        <v>185</v>
      </c>
      <c r="T180" s="87" t="s">
        <v>185</v>
      </c>
    </row>
    <row r="181" spans="1:20" ht="32.1" customHeight="1">
      <c r="A181" s="81">
        <v>34</v>
      </c>
      <c r="B181" s="140" t="s">
        <v>30</v>
      </c>
      <c r="C181" s="69" t="s">
        <v>182</v>
      </c>
      <c r="D181" s="54" t="s">
        <v>21</v>
      </c>
      <c r="E181" s="54" t="s">
        <v>22</v>
      </c>
      <c r="F181" s="20" t="s">
        <v>23</v>
      </c>
      <c r="G181" s="9">
        <v>4137</v>
      </c>
      <c r="H181" s="25">
        <v>3591</v>
      </c>
      <c r="I181" s="29">
        <v>113</v>
      </c>
      <c r="J181" s="60">
        <v>113</v>
      </c>
      <c r="K181" s="35">
        <f>(Table1[[#This Row],[unsub]]/Table1[[#This Row],[unique-sends]])*100</f>
        <v>2.7314479091128838</v>
      </c>
      <c r="L181" s="21">
        <f>Table1[[#This Row],[unique-opens]] / Table1[[#This Row],[unique-sends]] * 100</f>
        <v>86.802030456852791</v>
      </c>
      <c r="M181" s="37">
        <f>Table1[[#This Row],[unique-clicks]] / Table1[[#This Row],[unique-sends]] * 100</f>
        <v>2.7314479091128838</v>
      </c>
      <c r="N181" s="37">
        <f>Table1[[#This Row],[unique-clicks]] / Table1[[#This Row],[unique-opens]] * 100</f>
        <v>3.1467557783347253</v>
      </c>
      <c r="O181" s="37">
        <f>(MIN(Table1[[#This Row],[unique-opens]]/Table1[[#This Row],[unique-sends]],1)*50
 + MIN(Table1[[#This Row],[unique-clicks]]/Table1[[#This Row],[unique-sends]],1)*50)
 * (1 + MIN(Table1[[#This Row],[unique-clicks]]/Table1[[#This Row],[unique-sends]],1))
 - ((Table1[[#This Row],[unsub]]/Table1[[#This Row],[unique-sends]]*100)*2)</f>
        <v>40.526623526148676</v>
      </c>
      <c r="P181" s="37" t="str">
        <f>IF(Table1[[#This Row],[Engagement Score]]&lt;30,"🔴",IF(Table1[[#This Row],[Engagement Score]]&lt;40,"🟡","🟢"))</f>
        <v>🟢</v>
      </c>
      <c r="Q181" s="60"/>
      <c r="R181" s="60"/>
      <c r="S181" s="60"/>
      <c r="T181" s="87"/>
    </row>
    <row r="182" spans="1:20" ht="32.1" customHeight="1">
      <c r="A182" s="81">
        <v>14</v>
      </c>
      <c r="B182" s="135" t="s">
        <v>20</v>
      </c>
      <c r="C182" s="69" t="s">
        <v>182</v>
      </c>
      <c r="D182" s="54" t="s">
        <v>21</v>
      </c>
      <c r="E182" s="54" t="s">
        <v>22</v>
      </c>
      <c r="F182" s="20" t="s">
        <v>23</v>
      </c>
      <c r="G182" s="9">
        <v>2110</v>
      </c>
      <c r="H182" s="25">
        <v>2116</v>
      </c>
      <c r="I182" s="29">
        <v>69</v>
      </c>
      <c r="J182" s="60">
        <v>12</v>
      </c>
      <c r="K182" s="35">
        <f>(Table1[[#This Row],[unsub]]/Table1[[#This Row],[unique-sends]])*100</f>
        <v>0.56872037914691942</v>
      </c>
      <c r="L182" s="21">
        <f>Table1[[#This Row],[unique-opens]] / Table1[[#This Row],[unique-sends]] * 100</f>
        <v>100.28436018957345</v>
      </c>
      <c r="M182" s="37">
        <f>Table1[[#This Row],[unique-clicks]] / Table1[[#This Row],[unique-sends]] * 100</f>
        <v>3.2701421800947865</v>
      </c>
      <c r="N182" s="37">
        <f>Table1[[#This Row],[unique-clicks]] / Table1[[#This Row],[unique-opens]] * 100</f>
        <v>3.2608695652173911</v>
      </c>
      <c r="O182" s="37">
        <f>(MIN(Table1[[#This Row],[unique-opens]]/Table1[[#This Row],[unique-sends]],1)*50
 + MIN(Table1[[#This Row],[unique-clicks]]/Table1[[#This Row],[unique-sends]],1)*50)
 * (1 + MIN(Table1[[#This Row],[unique-clicks]]/Table1[[#This Row],[unique-sends]],1))
 - ((Table1[[#This Row],[unsub]]/Table1[[#This Row],[unique-sends]]*100)*2)</f>
        <v>52.186170571191113</v>
      </c>
      <c r="P182" s="37" t="str">
        <f>IF(Table1[[#This Row],[Engagement Score]]&lt;30,"🔴",IF(Table1[[#This Row],[Engagement Score]]&lt;40,"🟡","🟢"))</f>
        <v>🟢</v>
      </c>
      <c r="Q182" s="60" t="s">
        <v>185</v>
      </c>
      <c r="R182" s="60" t="s">
        <v>185</v>
      </c>
      <c r="S182" s="60" t="s">
        <v>185</v>
      </c>
      <c r="T182" s="87" t="s">
        <v>185</v>
      </c>
    </row>
    <row r="183" spans="1:20" ht="32.1" customHeight="1">
      <c r="A183" s="81">
        <v>55</v>
      </c>
      <c r="B183" s="141" t="s">
        <v>189</v>
      </c>
      <c r="C183" s="69" t="s">
        <v>182</v>
      </c>
      <c r="D183" s="54" t="s">
        <v>28</v>
      </c>
      <c r="E183" s="54" t="s">
        <v>22</v>
      </c>
      <c r="F183" s="20" t="s">
        <v>23</v>
      </c>
      <c r="G183" s="9">
        <v>151</v>
      </c>
      <c r="H183" s="25">
        <v>83</v>
      </c>
      <c r="I183" s="29">
        <v>4</v>
      </c>
      <c r="J183" s="60">
        <v>0</v>
      </c>
      <c r="K183" s="35">
        <f>(Table1[[#This Row],[unsub]]/Table1[[#This Row],[unique-sends]])*100</f>
        <v>0</v>
      </c>
      <c r="L183" s="21">
        <f>Table1[[#This Row],[unique-opens]] / Table1[[#This Row],[unique-sends]] * 100</f>
        <v>54.966887417218544</v>
      </c>
      <c r="M183" s="37">
        <f>Table1[[#This Row],[unique-clicks]] / Table1[[#This Row],[unique-sends]] * 100</f>
        <v>2.6490066225165565</v>
      </c>
      <c r="N183" s="37">
        <f>Table1[[#This Row],[unique-clicks]] / Table1[[#This Row],[unique-opens]] * 100</f>
        <v>4.8192771084337354</v>
      </c>
      <c r="O183" s="37">
        <f>(MIN(Table1[[#This Row],[unique-opens]]/Table1[[#This Row],[unique-sends]],1)*50
 + MIN(Table1[[#This Row],[unique-clicks]]/Table1[[#This Row],[unique-sends]],1)*50)
 * (1 + MIN(Table1[[#This Row],[unique-clicks]]/Table1[[#This Row],[unique-sends]],1))
 - ((Table1[[#This Row],[unsub]]/Table1[[#This Row],[unique-sends]]*100)*2)</f>
        <v>29.571071444234903</v>
      </c>
      <c r="P183" s="37" t="str">
        <f>IF(Table1[[#This Row],[Engagement Score]]&lt;30,"🔴",IF(Table1[[#This Row],[Engagement Score]]&lt;40,"🟡","🟢"))</f>
        <v>🔴</v>
      </c>
      <c r="Q183" s="60"/>
      <c r="R183" s="60"/>
      <c r="S183" s="60"/>
      <c r="T183" s="87"/>
    </row>
    <row r="184" spans="1:20" ht="32.1" customHeight="1">
      <c r="A184" s="81">
        <v>54</v>
      </c>
      <c r="B184" s="141" t="s">
        <v>189</v>
      </c>
      <c r="C184" s="69" t="s">
        <v>182</v>
      </c>
      <c r="D184" s="54" t="s">
        <v>21</v>
      </c>
      <c r="E184" s="54" t="s">
        <v>22</v>
      </c>
      <c r="F184" s="20" t="s">
        <v>23</v>
      </c>
      <c r="G184" s="9">
        <v>3574</v>
      </c>
      <c r="H184" s="25">
        <v>2296</v>
      </c>
      <c r="I184" s="29">
        <v>138</v>
      </c>
      <c r="J184" s="60">
        <v>5</v>
      </c>
      <c r="K184" s="35">
        <f>(Table1[[#This Row],[unsub]]/Table1[[#This Row],[unique-sends]])*100</f>
        <v>0.13989927252378287</v>
      </c>
      <c r="L184" s="21">
        <f>Table1[[#This Row],[unique-opens]] / Table1[[#This Row],[unique-sends]] * 100</f>
        <v>64.241745942921085</v>
      </c>
      <c r="M184" s="37">
        <f>Table1[[#This Row],[unique-clicks]] / Table1[[#This Row],[unique-sends]] * 100</f>
        <v>3.8612199216564074</v>
      </c>
      <c r="N184" s="37">
        <f>Table1[[#This Row],[unique-clicks]] / Table1[[#This Row],[unique-opens]] * 100</f>
        <v>6.010452961672474</v>
      </c>
      <c r="O184" s="37">
        <f>(MIN(Table1[[#This Row],[unique-opens]]/Table1[[#This Row],[unique-sends]],1)*50
 + MIN(Table1[[#This Row],[unique-clicks]]/Table1[[#This Row],[unique-sends]],1)*50)
 * (1 + MIN(Table1[[#This Row],[unique-clicks]]/Table1[[#This Row],[unique-sends]],1))
 - ((Table1[[#This Row],[unsub]]/Table1[[#This Row],[unique-sends]]*100)*2)</f>
        <v>35.086487029842147</v>
      </c>
      <c r="P184" s="37" t="str">
        <f>IF(Table1[[#This Row],[Engagement Score]]&lt;30,"🔴",IF(Table1[[#This Row],[Engagement Score]]&lt;40,"🟡","🟢"))</f>
        <v>🟡</v>
      </c>
      <c r="Q184" s="60" t="s">
        <v>185</v>
      </c>
      <c r="R184" s="60" t="s">
        <v>185</v>
      </c>
      <c r="S184" s="60" t="s">
        <v>185</v>
      </c>
      <c r="T184" s="87" t="s">
        <v>185</v>
      </c>
    </row>
    <row r="185" spans="1:20" ht="32.1" customHeight="1">
      <c r="A185" s="80">
        <v>23</v>
      </c>
      <c r="B185" s="142" t="s">
        <v>190</v>
      </c>
      <c r="C185" s="69" t="s">
        <v>182</v>
      </c>
      <c r="D185" s="15" t="s">
        <v>21</v>
      </c>
      <c r="E185" s="15" t="s">
        <v>22</v>
      </c>
      <c r="F185" s="53" t="s">
        <v>23</v>
      </c>
      <c r="G185" s="13">
        <v>262</v>
      </c>
      <c r="H185" s="24">
        <v>187</v>
      </c>
      <c r="I185" s="28">
        <v>20</v>
      </c>
      <c r="J185" s="16">
        <v>0</v>
      </c>
      <c r="K185" s="35">
        <f>(Table1[[#This Row],[unsub]]/Table1[[#This Row],[unique-sends]])*100</f>
        <v>0</v>
      </c>
      <c r="L185" s="44">
        <f>Table1[[#This Row],[unique-opens]] / Table1[[#This Row],[unique-sends]] * 100</f>
        <v>71.374045801526719</v>
      </c>
      <c r="M185" s="45">
        <f>Table1[[#This Row],[unique-clicks]] / Table1[[#This Row],[unique-sends]] * 100</f>
        <v>7.6335877862595423</v>
      </c>
      <c r="N185" s="37">
        <f>Table1[[#This Row],[unique-clicks]] / Table1[[#This Row],[unique-opens]] * 100</f>
        <v>10.695187165775401</v>
      </c>
      <c r="O185" s="37">
        <f>(MIN(Table1[[#This Row],[unique-opens]]/Table1[[#This Row],[unique-sends]],1)*50
 + MIN(Table1[[#This Row],[unique-clicks]]/Table1[[#This Row],[unique-sends]],1)*50)
 * (1 + MIN(Table1[[#This Row],[unique-clicks]]/Table1[[#This Row],[unique-sends]],1))
 - ((Table1[[#This Row],[unsub]]/Table1[[#This Row],[unique-sends]]*100)*2)</f>
        <v>42.5193753277781</v>
      </c>
      <c r="P185" s="37" t="str">
        <f>IF(Table1[[#This Row],[Engagement Score]]&lt;30,"🔴",IF(Table1[[#This Row],[Engagement Score]]&lt;40,"🟡","🟢"))</f>
        <v>🟢</v>
      </c>
      <c r="Q185" s="60"/>
      <c r="R185" s="60"/>
      <c r="S185" s="60"/>
      <c r="T185" s="87"/>
    </row>
    <row r="186" spans="1:20" ht="32.1" customHeight="1">
      <c r="A186" s="81">
        <v>22</v>
      </c>
      <c r="B186" s="140" t="s">
        <v>191</v>
      </c>
      <c r="C186" s="69" t="s">
        <v>182</v>
      </c>
      <c r="D186" s="41" t="s">
        <v>21</v>
      </c>
      <c r="E186" s="41" t="s">
        <v>22</v>
      </c>
      <c r="F186" s="20" t="s">
        <v>23</v>
      </c>
      <c r="G186" s="9">
        <v>376</v>
      </c>
      <c r="H186" s="25">
        <v>281</v>
      </c>
      <c r="I186" s="29">
        <v>89</v>
      </c>
      <c r="J186" s="11">
        <v>0</v>
      </c>
      <c r="K186" s="36">
        <f>(Table1[[#This Row],[unsub]]/Table1[[#This Row],[unique-sends]])*100</f>
        <v>0</v>
      </c>
      <c r="L186" s="6">
        <f>Table1[[#This Row],[unique-opens]] / Table1[[#This Row],[unique-sends]] * 100</f>
        <v>74.7340425531915</v>
      </c>
      <c r="M186" s="31">
        <f>Table1[[#This Row],[unique-clicks]] / Table1[[#This Row],[unique-sends]] * 100</f>
        <v>23.670212765957448</v>
      </c>
      <c r="N186" s="37">
        <f>Table1[[#This Row],[unique-clicks]] / Table1[[#This Row],[unique-opens]] * 100</f>
        <v>31.672597864768683</v>
      </c>
      <c r="O186" s="37">
        <f>(MIN(Table1[[#This Row],[unique-opens]]/Table1[[#This Row],[unique-sends]],1)*50
 + MIN(Table1[[#This Row],[unique-clicks]]/Table1[[#This Row],[unique-sends]],1)*50)
 * (1 + MIN(Table1[[#This Row],[unique-clicks]]/Table1[[#This Row],[unique-sends]],1))
 - ((Table1[[#This Row],[unsub]]/Table1[[#This Row],[unique-sends]]*100)*2)</f>
        <v>60.848375961973744</v>
      </c>
      <c r="P186" s="37" t="str">
        <f>IF(Table1[[#This Row],[Engagement Score]]&lt;30,"🔴",IF(Table1[[#This Row],[Engagement Score]]&lt;40,"🟡","🟢"))</f>
        <v>🟢</v>
      </c>
      <c r="Q186" s="60"/>
      <c r="R186" s="60"/>
      <c r="S186" s="60"/>
      <c r="T186" s="87"/>
    </row>
    <row r="187" spans="1:20" ht="32.1" customHeight="1">
      <c r="A187" s="80">
        <v>21</v>
      </c>
      <c r="B187" s="142" t="s">
        <v>192</v>
      </c>
      <c r="C187" s="70">
        <v>45931</v>
      </c>
      <c r="D187" s="15" t="s">
        <v>21</v>
      </c>
      <c r="E187" s="15" t="s">
        <v>22</v>
      </c>
      <c r="F187" s="53" t="s">
        <v>23</v>
      </c>
      <c r="G187" s="13">
        <v>389</v>
      </c>
      <c r="H187" s="24">
        <v>237</v>
      </c>
      <c r="I187" s="28">
        <v>52</v>
      </c>
      <c r="J187" s="16">
        <v>0</v>
      </c>
      <c r="K187" s="35">
        <f>(Table1[[#This Row],[unsub]]/Table1[[#This Row],[unique-sends]])*100</f>
        <v>0</v>
      </c>
      <c r="L187" s="44">
        <f>Table1[[#This Row],[unique-opens]] / Table1[[#This Row],[unique-sends]] * 100</f>
        <v>60.925449871465297</v>
      </c>
      <c r="M187" s="45">
        <f>Table1[[#This Row],[unique-clicks]] / Table1[[#This Row],[unique-sends]] * 100</f>
        <v>13.367609254498714</v>
      </c>
      <c r="N187" s="37">
        <f>Table1[[#This Row],[unique-clicks]] / Table1[[#This Row],[unique-opens]] * 100</f>
        <v>21.940928270042196</v>
      </c>
      <c r="O187" s="37">
        <f>(MIN(Table1[[#This Row],[unique-opens]]/Table1[[#This Row],[unique-sends]],1)*50
 + MIN(Table1[[#This Row],[unique-clicks]]/Table1[[#This Row],[unique-sends]],1)*50)
 * (1 + MIN(Table1[[#This Row],[unique-clicks]]/Table1[[#This Row],[unique-sends]],1))
 - ((Table1[[#This Row],[unsub]]/Table1[[#This Row],[unique-sends]]*100)*2)</f>
        <v>42.112132486568285</v>
      </c>
      <c r="P187" s="37" t="str">
        <f>IF(Table1[[#This Row],[Engagement Score]]&lt;30,"🔴",IF(Table1[[#This Row],[Engagement Score]]&lt;40,"🟡","🟢"))</f>
        <v>🟢</v>
      </c>
      <c r="Q187" s="60"/>
      <c r="R187" s="60"/>
      <c r="S187" s="60"/>
      <c r="T187" s="87"/>
    </row>
    <row r="188" spans="1:20" ht="32.1" customHeight="1">
      <c r="A188" s="80">
        <v>20</v>
      </c>
      <c r="B188" s="141" t="s">
        <v>193</v>
      </c>
      <c r="C188" s="70">
        <v>45931</v>
      </c>
      <c r="D188" s="20" t="s">
        <v>21</v>
      </c>
      <c r="E188" s="20" t="s">
        <v>22</v>
      </c>
      <c r="F188" s="54" t="s">
        <v>23</v>
      </c>
      <c r="G188" s="9">
        <v>612</v>
      </c>
      <c r="H188" s="25">
        <v>327</v>
      </c>
      <c r="I188" s="29">
        <v>29</v>
      </c>
      <c r="J188" s="11">
        <v>0</v>
      </c>
      <c r="K188" s="36">
        <f>(Table1[[#This Row],[unsub]]/Table1[[#This Row],[unique-sends]])*100</f>
        <v>0</v>
      </c>
      <c r="L188" s="6">
        <f>Table1[[#This Row],[unique-opens]] / Table1[[#This Row],[unique-sends]] * 100</f>
        <v>53.431372549019606</v>
      </c>
      <c r="M188" s="31">
        <f>Table1[[#This Row],[unique-clicks]] / Table1[[#This Row],[unique-sends]] * 100</f>
        <v>4.738562091503268</v>
      </c>
      <c r="N188" s="37">
        <f>Table1[[#This Row],[unique-clicks]] / Table1[[#This Row],[unique-opens]] * 100</f>
        <v>8.8685015290519882</v>
      </c>
      <c r="O188" s="37">
        <f>(MIN(Table1[[#This Row],[unique-opens]]/Table1[[#This Row],[unique-sends]],1)*50
 + MIN(Table1[[#This Row],[unique-clicks]]/Table1[[#This Row],[unique-sends]],1)*50)
 * (1 + MIN(Table1[[#This Row],[unique-clicks]]/Table1[[#This Row],[unique-sends]],1))
 - ((Table1[[#This Row],[unsub]]/Table1[[#This Row],[unique-sends]]*100)*2)</f>
        <v>30.463176556025463</v>
      </c>
      <c r="P188" s="37" t="str">
        <f>IF(Table1[[#This Row],[Engagement Score]]&lt;30,"🔴",IF(Table1[[#This Row],[Engagement Score]]&lt;40,"🟡","🟢"))</f>
        <v>🟡</v>
      </c>
      <c r="Q188" s="60"/>
      <c r="R188" s="60"/>
      <c r="S188" s="60"/>
      <c r="T188" s="87"/>
    </row>
    <row r="189" spans="1:20" ht="32.1" customHeight="1">
      <c r="A189" s="80">
        <v>51</v>
      </c>
      <c r="B189" s="136" t="s">
        <v>156</v>
      </c>
      <c r="C189" s="70">
        <v>45931</v>
      </c>
      <c r="D189" s="20" t="s">
        <v>21</v>
      </c>
      <c r="E189" s="20" t="s">
        <v>22</v>
      </c>
      <c r="F189" s="19" t="s">
        <v>23</v>
      </c>
      <c r="G189" s="9">
        <v>417</v>
      </c>
      <c r="H189" s="25">
        <v>251</v>
      </c>
      <c r="I189" s="29">
        <v>13</v>
      </c>
      <c r="J189" s="11">
        <v>1</v>
      </c>
      <c r="K189" s="36">
        <f>(Table1[[#This Row],[unsub]]/Table1[[#This Row],[unique-sends]])*100</f>
        <v>0.23980815347721821</v>
      </c>
      <c r="L189" s="6">
        <f>Table1[[#This Row],[unique-opens]] / Table1[[#This Row],[unique-sends]] * 100</f>
        <v>60.19184652278178</v>
      </c>
      <c r="M189" s="31">
        <f>Table1[[#This Row],[unique-clicks]] / Table1[[#This Row],[unique-sends]] * 100</f>
        <v>3.1175059952038371</v>
      </c>
      <c r="N189" s="37">
        <f>Table1[[#This Row],[unique-clicks]] / Table1[[#This Row],[unique-opens]] * 100</f>
        <v>5.1792828685258963</v>
      </c>
      <c r="O189" s="37">
        <f>(MIN(Table1[[#This Row],[unique-opens]]/Table1[[#This Row],[unique-sends]],1)*50
 + MIN(Table1[[#This Row],[unique-clicks]]/Table1[[#This Row],[unique-sends]],1)*50)
 * (1 + MIN(Table1[[#This Row],[unique-clicks]]/Table1[[#This Row],[unique-sends]],1))
 - ((Table1[[#This Row],[unsub]]/Table1[[#This Row],[unique-sends]]*100)*2)</f>
        <v>32.161896382174845</v>
      </c>
      <c r="P189" s="37" t="str">
        <f>IF(Table1[[#This Row],[Engagement Score]]&lt;30,"🔴",IF(Table1[[#This Row],[Engagement Score]]&lt;40,"🟡","🟢"))</f>
        <v>🟡</v>
      </c>
      <c r="Q189" s="14">
        <v>0</v>
      </c>
      <c r="R189" s="16">
        <v>0</v>
      </c>
      <c r="S189" s="16">
        <v>0</v>
      </c>
      <c r="T189" s="88"/>
    </row>
    <row r="190" spans="1:20" ht="32.1" customHeight="1">
      <c r="A190" s="80">
        <v>53</v>
      </c>
      <c r="B190" s="138" t="s">
        <v>157</v>
      </c>
      <c r="C190" s="70">
        <v>45931</v>
      </c>
      <c r="D190" s="15" t="s">
        <v>28</v>
      </c>
      <c r="E190" s="52" t="s">
        <v>22</v>
      </c>
      <c r="F190" s="19" t="s">
        <v>23</v>
      </c>
      <c r="G190" s="9">
        <v>70</v>
      </c>
      <c r="H190" s="25">
        <v>34</v>
      </c>
      <c r="I190" s="29">
        <v>2</v>
      </c>
      <c r="J190" s="11">
        <v>0</v>
      </c>
      <c r="K190" s="36">
        <f>(Table1[[#This Row],[unsub]]/Table1[[#This Row],[unique-sends]])*100</f>
        <v>0</v>
      </c>
      <c r="L190" s="6">
        <f>Table1[[#This Row],[unique-opens]] / Table1[[#This Row],[unique-sends]] * 100</f>
        <v>48.571428571428569</v>
      </c>
      <c r="M190" s="31">
        <f>Table1[[#This Row],[unique-clicks]] / Table1[[#This Row],[unique-sends]] * 100</f>
        <v>2.8571428571428572</v>
      </c>
      <c r="N190" s="37">
        <f>Table1[[#This Row],[unique-clicks]] / Table1[[#This Row],[unique-opens]] * 100</f>
        <v>5.8823529411764701</v>
      </c>
      <c r="O190" s="37">
        <f>(MIN(Table1[[#This Row],[unique-opens]]/Table1[[#This Row],[unique-sends]],1)*50
 + MIN(Table1[[#This Row],[unique-clicks]]/Table1[[#This Row],[unique-sends]],1)*50)
 * (1 + MIN(Table1[[#This Row],[unique-clicks]]/Table1[[#This Row],[unique-sends]],1))
 - ((Table1[[#This Row],[unsub]]/Table1[[#This Row],[unique-sends]]*100)*2)</f>
        <v>26.448979591836729</v>
      </c>
      <c r="P190" s="37" t="str">
        <f>IF(Table1[[#This Row],[Engagement Score]]&lt;30,"🔴",IF(Table1[[#This Row],[Engagement Score]]&lt;40,"🟡","🟢"))</f>
        <v>🔴</v>
      </c>
      <c r="Q190" s="10">
        <v>0</v>
      </c>
      <c r="R190" s="11">
        <v>0</v>
      </c>
      <c r="S190" s="11">
        <v>0</v>
      </c>
      <c r="T190" s="88"/>
    </row>
    <row r="191" spans="1:20" ht="32.1" customHeight="1">
      <c r="A191" s="81">
        <v>31</v>
      </c>
      <c r="B191" s="140" t="s">
        <v>176</v>
      </c>
      <c r="C191" s="69" t="s">
        <v>194</v>
      </c>
      <c r="D191" s="54" t="s">
        <v>28</v>
      </c>
      <c r="E191" s="54" t="s">
        <v>25</v>
      </c>
      <c r="F191" s="20" t="s">
        <v>26</v>
      </c>
      <c r="G191" s="9">
        <v>910</v>
      </c>
      <c r="H191" s="25">
        <v>521</v>
      </c>
      <c r="I191" s="29">
        <v>35</v>
      </c>
      <c r="J191" s="60">
        <v>0</v>
      </c>
      <c r="K191" s="35">
        <f>(Table1[[#This Row],[unsub]]/Table1[[#This Row],[unique-sends]])*100</f>
        <v>0</v>
      </c>
      <c r="L191" s="21">
        <f>Table1[[#This Row],[unique-opens]] / Table1[[#This Row],[unique-sends]] * 100</f>
        <v>57.252747252747248</v>
      </c>
      <c r="M191" s="37">
        <f>Table1[[#This Row],[unique-clicks]] / Table1[[#This Row],[unique-sends]] * 100</f>
        <v>3.8461538461538463</v>
      </c>
      <c r="N191" s="37">
        <f>Table1[[#This Row],[unique-clicks]] / Table1[[#This Row],[unique-opens]] * 100</f>
        <v>6.7178502879078703</v>
      </c>
      <c r="O191" s="37">
        <f>(MIN(Table1[[#This Row],[unique-opens]]/Table1[[#This Row],[unique-sends]],1)*50
 + MIN(Table1[[#This Row],[unique-clicks]]/Table1[[#This Row],[unique-sends]],1)*50)
 * (1 + MIN(Table1[[#This Row],[unique-clicks]]/Table1[[#This Row],[unique-sends]],1))
 - ((Table1[[#This Row],[unsub]]/Table1[[#This Row],[unique-sends]]*100)*2)</f>
        <v>31.724429416737109</v>
      </c>
      <c r="P191" s="37" t="str">
        <f>IF(Table1[[#This Row],[Engagement Score]]&lt;30,"🔴",IF(Table1[[#This Row],[Engagement Score]]&lt;40,"🟡","🟢"))</f>
        <v>🟡</v>
      </c>
      <c r="Q191" s="60">
        <v>86</v>
      </c>
      <c r="R191" s="60">
        <v>10</v>
      </c>
      <c r="S191" s="60">
        <v>4</v>
      </c>
      <c r="T191" s="64" t="s">
        <v>177</v>
      </c>
    </row>
    <row r="192" spans="1:20" ht="32.1" customHeight="1">
      <c r="A192" s="81">
        <v>31</v>
      </c>
      <c r="B192" s="140" t="s">
        <v>176</v>
      </c>
      <c r="C192" s="69" t="s">
        <v>194</v>
      </c>
      <c r="D192" s="54" t="s">
        <v>21</v>
      </c>
      <c r="E192" s="54" t="s">
        <v>25</v>
      </c>
      <c r="F192" s="20" t="s">
        <v>26</v>
      </c>
      <c r="G192" s="9">
        <v>13333</v>
      </c>
      <c r="H192" s="25">
        <v>7023</v>
      </c>
      <c r="I192" s="29">
        <v>165</v>
      </c>
      <c r="J192" s="60">
        <v>4</v>
      </c>
      <c r="K192" s="35">
        <f>(Table1[[#This Row],[unsub]]/Table1[[#This Row],[unique-sends]])*100</f>
        <v>3.0000750018750466E-2</v>
      </c>
      <c r="L192" s="21">
        <f>Table1[[#This Row],[unique-opens]] / Table1[[#This Row],[unique-sends]] * 100</f>
        <v>52.673816845421143</v>
      </c>
      <c r="M192" s="37">
        <f>Table1[[#This Row],[unique-clicks]] / Table1[[#This Row],[unique-sends]] * 100</f>
        <v>1.2375309382734569</v>
      </c>
      <c r="N192" s="37">
        <f>Table1[[#This Row],[unique-clicks]] / Table1[[#This Row],[unique-opens]] * 100</f>
        <v>2.3494233233660831</v>
      </c>
      <c r="O192" s="37">
        <f>(MIN(Table1[[#This Row],[unique-opens]]/Table1[[#This Row],[unique-sends]],1)*50
 + MIN(Table1[[#This Row],[unique-clicks]]/Table1[[#This Row],[unique-sends]],1)*50)
 * (1 + MIN(Table1[[#This Row],[unique-clicks]]/Table1[[#This Row],[unique-sends]],1))
 - ((Table1[[#This Row],[unsub]]/Table1[[#This Row],[unique-sends]]*100)*2)</f>
        <v>27.229257195841512</v>
      </c>
      <c r="P192" s="37" t="str">
        <f>IF(Table1[[#This Row],[Engagement Score]]&lt;30,"🔴",IF(Table1[[#This Row],[Engagement Score]]&lt;40,"🟡","🟢"))</f>
        <v>🔴</v>
      </c>
      <c r="Q192" s="60">
        <v>71.099999999999994</v>
      </c>
      <c r="R192" s="60">
        <v>16.5</v>
      </c>
      <c r="S192" s="60">
        <v>12.4</v>
      </c>
      <c r="T192" s="64" t="s">
        <v>178</v>
      </c>
    </row>
    <row r="193" spans="1:20" ht="32.1" customHeight="1">
      <c r="A193" s="81">
        <v>31</v>
      </c>
      <c r="B193" s="140" t="s">
        <v>195</v>
      </c>
      <c r="C193" s="69" t="s">
        <v>196</v>
      </c>
      <c r="D193" s="54" t="s">
        <v>28</v>
      </c>
      <c r="E193" s="54" t="s">
        <v>25</v>
      </c>
      <c r="F193" s="20" t="s">
        <v>26</v>
      </c>
      <c r="G193" s="9">
        <v>221</v>
      </c>
      <c r="H193" s="25">
        <v>144</v>
      </c>
      <c r="I193" s="29">
        <v>1</v>
      </c>
      <c r="J193" s="60">
        <v>1</v>
      </c>
      <c r="K193" s="35">
        <f>(Table1[[#This Row],[unsub]]/Table1[[#This Row],[unique-sends]])*100</f>
        <v>0.45248868778280549</v>
      </c>
      <c r="L193" s="21">
        <f>Table1[[#This Row],[unique-opens]] / Table1[[#This Row],[unique-sends]] * 100</f>
        <v>65.158371040723978</v>
      </c>
      <c r="M193" s="37">
        <f>Table1[[#This Row],[unique-clicks]] / Table1[[#This Row],[unique-sends]] * 100</f>
        <v>0.45248868778280549</v>
      </c>
      <c r="N193" s="37">
        <f>Table1[[#This Row],[unique-clicks]] / Table1[[#This Row],[unique-opens]] * 100</f>
        <v>0.69444444444444442</v>
      </c>
      <c r="O193" s="37">
        <f>(MIN(Table1[[#This Row],[unique-opens]]/Table1[[#This Row],[unique-sends]],1)*50
 + MIN(Table1[[#This Row],[unique-clicks]]/Table1[[#This Row],[unique-sends]],1)*50)
 * (1 + MIN(Table1[[#This Row],[unique-clicks]]/Table1[[#This Row],[unique-sends]],1))
 - ((Table1[[#This Row],[unsub]]/Table1[[#This Row],[unique-sends]]*100)*2)</f>
        <v>32.04889334780205</v>
      </c>
      <c r="P193" s="37" t="str">
        <f>IF(Table1[[#This Row],[Engagement Score]]&lt;30,"🔴",IF(Table1[[#This Row],[Engagement Score]]&lt;40,"🟡","🟢"))</f>
        <v>🟡</v>
      </c>
      <c r="Q193" s="60">
        <v>0</v>
      </c>
      <c r="R193" s="60">
        <v>0</v>
      </c>
      <c r="S193" s="60">
        <v>0</v>
      </c>
      <c r="T193" s="64" t="s">
        <v>180</v>
      </c>
    </row>
    <row r="194" spans="1:20" ht="32.1" customHeight="1">
      <c r="A194" s="81">
        <v>31</v>
      </c>
      <c r="B194" s="140" t="s">
        <v>195</v>
      </c>
      <c r="C194" s="69" t="s">
        <v>196</v>
      </c>
      <c r="D194" s="54" t="s">
        <v>21</v>
      </c>
      <c r="E194" s="54" t="s">
        <v>25</v>
      </c>
      <c r="F194" s="20" t="s">
        <v>26</v>
      </c>
      <c r="G194" s="9">
        <v>9656</v>
      </c>
      <c r="H194" s="25">
        <v>5855</v>
      </c>
      <c r="I194" s="29">
        <v>41</v>
      </c>
      <c r="J194" s="60">
        <v>2</v>
      </c>
      <c r="K194" s="35">
        <f>(Table1[[#This Row],[unsub]]/Table1[[#This Row],[unique-sends]])*100</f>
        <v>2.0712510356255178E-2</v>
      </c>
      <c r="L194" s="21">
        <f>Table1[[#This Row],[unique-opens]] / Table1[[#This Row],[unique-sends]] * 100</f>
        <v>60.635874067937031</v>
      </c>
      <c r="M194" s="37">
        <f>Table1[[#This Row],[unique-clicks]] / Table1[[#This Row],[unique-sends]] * 100</f>
        <v>0.42460646230323112</v>
      </c>
      <c r="N194" s="37">
        <f>Table1[[#This Row],[unique-clicks]] / Table1[[#This Row],[unique-opens]] * 100</f>
        <v>0.70025619128949623</v>
      </c>
      <c r="O194" s="37">
        <f>(MIN(Table1[[#This Row],[unique-opens]]/Table1[[#This Row],[unique-sends]],1)*50
 + MIN(Table1[[#This Row],[unique-clicks]]/Table1[[#This Row],[unique-sends]],1)*50)
 * (1 + MIN(Table1[[#This Row],[unique-clicks]]/Table1[[#This Row],[unique-sends]],1))
 - ((Table1[[#This Row],[unsub]]/Table1[[#This Row],[unique-sends]]*100)*2)</f>
        <v>30.618448617530024</v>
      </c>
      <c r="P194" s="37" t="str">
        <f>IF(Table1[[#This Row],[Engagement Score]]&lt;30,"🔴",IF(Table1[[#This Row],[Engagement Score]]&lt;40,"🟡","🟢"))</f>
        <v>🟡</v>
      </c>
      <c r="Q194" s="60">
        <v>67.599999999999994</v>
      </c>
      <c r="R194" s="60">
        <v>17.600000000000001</v>
      </c>
      <c r="S194" s="60">
        <v>14.7</v>
      </c>
      <c r="T194" s="64" t="s">
        <v>181</v>
      </c>
    </row>
    <row r="195" spans="1:20" ht="32.1" customHeight="1">
      <c r="A195" s="81">
        <v>82</v>
      </c>
      <c r="B195" s="140" t="s">
        <v>197</v>
      </c>
      <c r="C195" s="69" t="s">
        <v>198</v>
      </c>
      <c r="D195" s="54" t="s">
        <v>28</v>
      </c>
      <c r="E195" s="54" t="s">
        <v>68</v>
      </c>
      <c r="F195" s="20" t="s">
        <v>26</v>
      </c>
      <c r="G195" s="9">
        <v>705</v>
      </c>
      <c r="H195" s="25">
        <v>459</v>
      </c>
      <c r="I195" s="29">
        <v>6</v>
      </c>
      <c r="J195" s="60">
        <v>8</v>
      </c>
      <c r="K195" s="35">
        <f>(Table1[[#This Row],[unsub]]/Table1[[#This Row],[unique-sends]])*100</f>
        <v>1.1347517730496455</v>
      </c>
      <c r="L195" s="21">
        <f>Table1[[#This Row],[unique-opens]] / Table1[[#This Row],[unique-sends]] * 100</f>
        <v>65.106382978723403</v>
      </c>
      <c r="M195" s="37">
        <f>Table1[[#This Row],[unique-clicks]] / Table1[[#This Row],[unique-sends]] * 100</f>
        <v>0.85106382978723405</v>
      </c>
      <c r="N195" s="37">
        <f>Table1[[#This Row],[unique-clicks]] / Table1[[#This Row],[unique-opens]] * 100</f>
        <v>1.3071895424836601</v>
      </c>
      <c r="O195" s="37">
        <f>(MIN(Table1[[#This Row],[unique-opens]]/Table1[[#This Row],[unique-sends]],1)*50
 + MIN(Table1[[#This Row],[unique-clicks]]/Table1[[#This Row],[unique-sends]],1)*50)
 * (1 + MIN(Table1[[#This Row],[unique-clicks]]/Table1[[#This Row],[unique-sends]],1))
 - ((Table1[[#This Row],[unsub]]/Table1[[#This Row],[unique-sends]]*100)*2)</f>
        <v>30.98988984457522</v>
      </c>
      <c r="P195" s="37" t="str">
        <f>IF(Table1[[#This Row],[Engagement Score]]&lt;30,"🔴",IF(Table1[[#This Row],[Engagement Score]]&lt;40,"🟡","🟢"))</f>
        <v>🟡</v>
      </c>
      <c r="Q195" s="60" t="s">
        <v>185</v>
      </c>
      <c r="R195" s="60" t="s">
        <v>185</v>
      </c>
      <c r="S195" s="60" t="s">
        <v>185</v>
      </c>
      <c r="T195" s="87" t="s">
        <v>185</v>
      </c>
    </row>
    <row r="196" spans="1:20" ht="32.1" customHeight="1">
      <c r="A196" s="81">
        <v>81</v>
      </c>
      <c r="B196" s="140" t="s">
        <v>197</v>
      </c>
      <c r="C196" s="69" t="s">
        <v>198</v>
      </c>
      <c r="D196" s="54" t="s">
        <v>21</v>
      </c>
      <c r="E196" s="54" t="s">
        <v>68</v>
      </c>
      <c r="F196" s="20" t="s">
        <v>26</v>
      </c>
      <c r="G196" s="9">
        <v>16367</v>
      </c>
      <c r="H196" s="25">
        <v>10042</v>
      </c>
      <c r="I196" s="29">
        <v>92</v>
      </c>
      <c r="J196" s="60">
        <v>56</v>
      </c>
      <c r="K196" s="35">
        <f>(Table1[[#This Row],[unsub]]/Table1[[#This Row],[unique-sends]])*100</f>
        <v>0.34215189100018334</v>
      </c>
      <c r="L196" s="21">
        <f>Table1[[#This Row],[unique-opens]] / Table1[[#This Row],[unique-sends]] * 100</f>
        <v>61.355165882568585</v>
      </c>
      <c r="M196" s="37">
        <f>Table1[[#This Row],[unique-clicks]] / Table1[[#This Row],[unique-sends]] * 100</f>
        <v>0.56210667807172976</v>
      </c>
      <c r="N196" s="37">
        <f>Table1[[#This Row],[unique-clicks]] / Table1[[#This Row],[unique-opens]] * 100</f>
        <v>0.91615216092411877</v>
      </c>
      <c r="O196" s="37">
        <f>(MIN(Table1[[#This Row],[unique-opens]]/Table1[[#This Row],[unique-sends]],1)*50
 + MIN(Table1[[#This Row],[unique-clicks]]/Table1[[#This Row],[unique-sends]],1)*50)
 * (1 + MIN(Table1[[#This Row],[unique-clicks]]/Table1[[#This Row],[unique-sends]],1))
 - ((Table1[[#This Row],[unsub]]/Table1[[#This Row],[unique-sends]]*100)*2)</f>
        <v>30.448353060291407</v>
      </c>
      <c r="P196" s="37" t="str">
        <f>IF(Table1[[#This Row],[Engagement Score]]&lt;30,"🔴",IF(Table1[[#This Row],[Engagement Score]]&lt;40,"🟡","🟢"))</f>
        <v>🟡</v>
      </c>
      <c r="Q196" s="60"/>
      <c r="R196" s="60"/>
      <c r="S196" s="60"/>
      <c r="T196" s="87"/>
    </row>
    <row r="197" spans="1:20" ht="32.1" customHeight="1">
      <c r="A197" s="81">
        <v>83</v>
      </c>
      <c r="B197" s="140" t="s">
        <v>199</v>
      </c>
      <c r="C197" s="69" t="s">
        <v>200</v>
      </c>
      <c r="D197" s="54" t="s">
        <v>21</v>
      </c>
      <c r="E197" s="54" t="s">
        <v>25</v>
      </c>
      <c r="F197" s="20" t="s">
        <v>26</v>
      </c>
      <c r="G197" s="9">
        <v>3231</v>
      </c>
      <c r="H197" s="25">
        <v>2212</v>
      </c>
      <c r="I197" s="29">
        <v>94</v>
      </c>
      <c r="J197" s="60">
        <v>2</v>
      </c>
      <c r="K197" s="35">
        <f>(Table1[[#This Row],[unsub]]/Table1[[#This Row],[unique-sends]])*100</f>
        <v>6.1900340451872482E-2</v>
      </c>
      <c r="L197" s="21">
        <f>Table1[[#This Row],[unique-opens]] / Table1[[#This Row],[unique-sends]] * 100</f>
        <v>68.461776539770966</v>
      </c>
      <c r="M197" s="37">
        <f>Table1[[#This Row],[unique-clicks]] / Table1[[#This Row],[unique-sends]] * 100</f>
        <v>2.909316001238007</v>
      </c>
      <c r="N197" s="37">
        <f>Table1[[#This Row],[unique-clicks]] / Table1[[#This Row],[unique-opens]] * 100</f>
        <v>4.2495479204339963</v>
      </c>
      <c r="O197" s="37">
        <f>(MIN(Table1[[#This Row],[unique-opens]]/Table1[[#This Row],[unique-sends]],1)*50
 + MIN(Table1[[#This Row],[unique-clicks]]/Table1[[#This Row],[unique-sends]],1)*50)
 * (1 + MIN(Table1[[#This Row],[unique-clicks]]/Table1[[#This Row],[unique-sends]],1))
 - ((Table1[[#This Row],[unsub]]/Table1[[#This Row],[unique-sends]]*100)*2)</f>
        <v>36.599950897377724</v>
      </c>
      <c r="P197" s="37" t="str">
        <f>IF(Table1[[#This Row],[Engagement Score]]&lt;30,"🔴",IF(Table1[[#This Row],[Engagement Score]]&lt;40,"🟡","🟢"))</f>
        <v>🟡</v>
      </c>
      <c r="Q197" s="60" t="s">
        <v>185</v>
      </c>
      <c r="R197" s="60" t="s">
        <v>185</v>
      </c>
      <c r="S197" s="60" t="s">
        <v>185</v>
      </c>
      <c r="T197" s="87" t="s">
        <v>185</v>
      </c>
    </row>
    <row r="198" spans="1:20" ht="32.1" customHeight="1">
      <c r="A198" s="81">
        <v>31</v>
      </c>
      <c r="B198" s="141" t="s">
        <v>201</v>
      </c>
      <c r="C198" s="69" t="s">
        <v>200</v>
      </c>
      <c r="D198" s="54" t="s">
        <v>28</v>
      </c>
      <c r="E198" s="54" t="s">
        <v>25</v>
      </c>
      <c r="F198" s="20" t="s">
        <v>26</v>
      </c>
      <c r="G198" s="9">
        <v>1767</v>
      </c>
      <c r="H198" s="25">
        <v>2156</v>
      </c>
      <c r="I198" s="29">
        <v>240</v>
      </c>
      <c r="J198" s="60">
        <v>0</v>
      </c>
      <c r="K198" s="35">
        <f>(Table1[[#This Row],[unsub]]/Table1[[#This Row],[unique-sends]])*100</f>
        <v>0</v>
      </c>
      <c r="L198" s="21">
        <f>Table1[[#This Row],[unique-opens]] / Table1[[#This Row],[unique-sends]] * 100</f>
        <v>122.014714204867</v>
      </c>
      <c r="M198" s="37">
        <f>Table1[[#This Row],[unique-clicks]] / Table1[[#This Row],[unique-sends]] * 100</f>
        <v>13.582342954159593</v>
      </c>
      <c r="N198" s="37">
        <f>Table1[[#This Row],[unique-clicks]] / Table1[[#This Row],[unique-opens]] * 100</f>
        <v>11.131725417439704</v>
      </c>
      <c r="O198" s="37">
        <f>(MIN(Table1[[#This Row],[unique-opens]]/Table1[[#This Row],[unique-sends]],1)*50
 + MIN(Table1[[#This Row],[unique-clicks]]/Table1[[#This Row],[unique-sends]],1)*50)
 * (1 + MIN(Table1[[#This Row],[unique-clicks]]/Table1[[#This Row],[unique-sends]],1))
 - ((Table1[[#This Row],[unsub]]/Table1[[#This Row],[unique-sends]]*100)*2)</f>
        <v>64.504743154781636</v>
      </c>
      <c r="P198" s="37" t="str">
        <f>IF(Table1[[#This Row],[Engagement Score]]&lt;30,"🔴",IF(Table1[[#This Row],[Engagement Score]]&lt;40,"🟡","🟢"))</f>
        <v>🟢</v>
      </c>
      <c r="Q198" s="60"/>
      <c r="R198" s="60"/>
      <c r="S198" s="60"/>
      <c r="T198" s="87"/>
    </row>
    <row r="199" spans="1:20" ht="32.1" customHeight="1">
      <c r="A199" s="81">
        <v>31</v>
      </c>
      <c r="B199" s="141" t="s">
        <v>201</v>
      </c>
      <c r="C199" s="69" t="s">
        <v>200</v>
      </c>
      <c r="D199" s="54" t="s">
        <v>21</v>
      </c>
      <c r="E199" s="54" t="s">
        <v>25</v>
      </c>
      <c r="F199" s="20" t="s">
        <v>26</v>
      </c>
      <c r="G199" s="9">
        <v>13022</v>
      </c>
      <c r="H199" s="25">
        <v>12394</v>
      </c>
      <c r="I199" s="29">
        <v>378</v>
      </c>
      <c r="J199" s="60">
        <v>8</v>
      </c>
      <c r="K199" s="35">
        <f>(Table1[[#This Row],[unsub]]/Table1[[#This Row],[unique-sends]])*100</f>
        <v>6.1434495469205964E-2</v>
      </c>
      <c r="L199" s="21">
        <f>Table1[[#This Row],[unique-opens]] / Table1[[#This Row],[unique-sends]] * 100</f>
        <v>95.177392105667337</v>
      </c>
      <c r="M199" s="37">
        <f>Table1[[#This Row],[unique-clicks]] / Table1[[#This Row],[unique-sends]] * 100</f>
        <v>2.9027799109199814</v>
      </c>
      <c r="N199" s="37">
        <f>Table1[[#This Row],[unique-clicks]] / Table1[[#This Row],[unique-opens]] * 100</f>
        <v>3.0498628368565437</v>
      </c>
      <c r="O199" s="37">
        <f>(MIN(Table1[[#This Row],[unique-opens]]/Table1[[#This Row],[unique-sends]],1)*50
 + MIN(Table1[[#This Row],[unique-clicks]]/Table1[[#This Row],[unique-sends]],1)*50)
 * (1 + MIN(Table1[[#This Row],[unique-clicks]]/Table1[[#This Row],[unique-sends]],1))
 - ((Table1[[#This Row],[unsub]]/Table1[[#This Row],[unique-sends]]*100)*2)</f>
        <v>50.340742782301874</v>
      </c>
      <c r="P199" s="37" t="str">
        <f>IF(Table1[[#This Row],[Engagement Score]]&lt;30,"🔴",IF(Table1[[#This Row],[Engagement Score]]&lt;40,"🟡","🟢"))</f>
        <v>🟢</v>
      </c>
      <c r="Q199" s="60"/>
      <c r="R199" s="60"/>
      <c r="S199" s="60"/>
      <c r="T199" s="87"/>
    </row>
    <row r="200" spans="1:20" ht="32.1" customHeight="1">
      <c r="A200" s="82">
        <v>31</v>
      </c>
      <c r="B200" s="143" t="s">
        <v>202</v>
      </c>
      <c r="C200" s="70" t="s">
        <v>203</v>
      </c>
      <c r="D200" s="54" t="s">
        <v>28</v>
      </c>
      <c r="E200" s="54" t="s">
        <v>25</v>
      </c>
      <c r="F200" s="20" t="s">
        <v>26</v>
      </c>
      <c r="G200" s="13">
        <v>318</v>
      </c>
      <c r="H200" s="25">
        <v>243</v>
      </c>
      <c r="I200" s="29">
        <v>25</v>
      </c>
      <c r="J200" s="60">
        <v>0</v>
      </c>
      <c r="K200" s="35">
        <f>(Table1[[#This Row],[unsub]]/Table1[[#This Row],[unique-sends]])*100</f>
        <v>0</v>
      </c>
      <c r="L200" s="21">
        <f>Table1[[#This Row],[unique-opens]] / Table1[[#This Row],[unique-sends]] * 100</f>
        <v>76.415094339622641</v>
      </c>
      <c r="M200" s="37">
        <f>Table1[[#This Row],[unique-clicks]] / Table1[[#This Row],[unique-sends]] * 100</f>
        <v>7.8616352201257858</v>
      </c>
      <c r="N200" s="37">
        <f>Table1[[#This Row],[unique-clicks]] / Table1[[#This Row],[unique-opens]] * 100</f>
        <v>10.2880658436214</v>
      </c>
      <c r="O200" s="37">
        <f>(MIN(Table1[[#This Row],[unique-opens]]/Table1[[#This Row],[unique-sends]],1)*50
 + MIN(Table1[[#This Row],[unique-clicks]]/Table1[[#This Row],[unique-sends]],1)*50)
 * (1 + MIN(Table1[[#This Row],[unique-clicks]]/Table1[[#This Row],[unique-sends]],1))
 - ((Table1[[#This Row],[unsub]]/Table1[[#This Row],[unique-sends]]*100)*2)</f>
        <v>45.451129306593891</v>
      </c>
      <c r="P200" s="37" t="str">
        <f>IF(Table1[[#This Row],[Engagement Score]]&lt;30,"🔴",IF(Table1[[#This Row],[Engagement Score]]&lt;40,"🟡","🟢"))</f>
        <v>🟢</v>
      </c>
      <c r="Q200" s="60" t="s">
        <v>185</v>
      </c>
      <c r="R200" s="60" t="s">
        <v>185</v>
      </c>
      <c r="S200" s="60" t="s">
        <v>185</v>
      </c>
      <c r="T200" s="87" t="s">
        <v>185</v>
      </c>
    </row>
    <row r="201" spans="1:20" ht="32.1" customHeight="1">
      <c r="A201" s="82">
        <v>31</v>
      </c>
      <c r="B201" s="143" t="s">
        <v>202</v>
      </c>
      <c r="C201" s="70" t="s">
        <v>203</v>
      </c>
      <c r="D201" s="54" t="s">
        <v>21</v>
      </c>
      <c r="E201" s="54" t="s">
        <v>25</v>
      </c>
      <c r="F201" s="20" t="s">
        <v>26</v>
      </c>
      <c r="G201" s="13">
        <v>9524</v>
      </c>
      <c r="H201" s="25">
        <v>5212</v>
      </c>
      <c r="I201" s="29">
        <v>198</v>
      </c>
      <c r="J201" s="60">
        <v>6</v>
      </c>
      <c r="K201" s="35">
        <f>(Table1[[#This Row],[unsub]]/Table1[[#This Row],[unique-sends]])*100</f>
        <v>6.2998740025199507E-2</v>
      </c>
      <c r="L201" s="21">
        <f>Table1[[#This Row],[unique-opens]] / Table1[[#This Row],[unique-sends]] * 100</f>
        <v>54.724905501889964</v>
      </c>
      <c r="M201" s="37">
        <f>Table1[[#This Row],[unique-clicks]] / Table1[[#This Row],[unique-sends]] * 100</f>
        <v>2.0789584208315834</v>
      </c>
      <c r="N201" s="37">
        <f>Table1[[#This Row],[unique-clicks]] / Table1[[#This Row],[unique-opens]] * 100</f>
        <v>3.7989255564082884</v>
      </c>
      <c r="O201" s="37">
        <f>(MIN(Table1[[#This Row],[unique-opens]]/Table1[[#This Row],[unique-sends]],1)*50
 + MIN(Table1[[#This Row],[unique-clicks]]/Table1[[#This Row],[unique-sends]],1)*50)
 * (1 + MIN(Table1[[#This Row],[unique-clicks]]/Table1[[#This Row],[unique-sends]],1))
 - ((Table1[[#This Row],[unsub]]/Table1[[#This Row],[unique-sends]]*100)*2)</f>
        <v>28.866398837499943</v>
      </c>
      <c r="P201" s="37" t="str">
        <f>IF(Table1[[#This Row],[Engagement Score]]&lt;30,"🔴",IF(Table1[[#This Row],[Engagement Score]]&lt;40,"🟡","🟢"))</f>
        <v>🔴</v>
      </c>
      <c r="Q201" s="60"/>
      <c r="R201" s="60"/>
      <c r="S201" s="60"/>
      <c r="T201" s="87"/>
    </row>
    <row r="202" spans="1:20" ht="32.1" customHeight="1">
      <c r="A202" s="82">
        <v>85</v>
      </c>
      <c r="B202" s="142" t="s">
        <v>204</v>
      </c>
      <c r="C202" s="85" t="s">
        <v>205</v>
      </c>
      <c r="D202" s="15" t="s">
        <v>28</v>
      </c>
      <c r="E202" s="54" t="s">
        <v>22</v>
      </c>
      <c r="F202" s="20" t="s">
        <v>26</v>
      </c>
      <c r="G202" s="13">
        <v>10206</v>
      </c>
      <c r="H202" s="24">
        <v>7525</v>
      </c>
      <c r="I202" s="28">
        <v>711</v>
      </c>
      <c r="J202" s="16">
        <v>6</v>
      </c>
      <c r="K202" s="35">
        <f>(Table1[[#This Row],[unsub]]/Table1[[#This Row],[unique-sends]])*100</f>
        <v>5.8788947677836566E-2</v>
      </c>
      <c r="L202" s="21">
        <f>Table1[[#This Row],[unique-opens]] / Table1[[#This Row],[unique-sends]] * 100</f>
        <v>73.731138545953357</v>
      </c>
      <c r="M202" s="37">
        <f>Table1[[#This Row],[unique-clicks]] / Table1[[#This Row],[unique-sends]] * 100</f>
        <v>6.9664902998236329</v>
      </c>
      <c r="N202" s="37">
        <f>Table1[[#This Row],[unique-clicks]] / Table1[[#This Row],[unique-opens]] * 100</f>
        <v>9.4485049833887036</v>
      </c>
      <c r="O202" s="37">
        <f>(MIN(Table1[[#This Row],[unique-opens]]/Table1[[#This Row],[unique-sends]],1)*50
 + MIN(Table1[[#This Row],[unique-clicks]]/Table1[[#This Row],[unique-sends]],1)*50)
 * (1 + MIN(Table1[[#This Row],[unique-clicks]]/Table1[[#This Row],[unique-sends]],1))
 - ((Table1[[#This Row],[unsub]]/Table1[[#This Row],[unique-sends]]*100)*2)</f>
        <v>43.042132770397188</v>
      </c>
      <c r="P202" s="37" t="str">
        <f>IF(Table1[[#This Row],[Engagement Score]]&lt;30,"🔴",IF(Table1[[#This Row],[Engagement Score]]&lt;40,"🟡","🟢"))</f>
        <v>🟢</v>
      </c>
      <c r="Q202" s="14"/>
      <c r="R202" s="16"/>
      <c r="S202" s="16"/>
      <c r="T202" s="130"/>
    </row>
    <row r="203" spans="1:20" ht="32.1" customHeight="1">
      <c r="A203" s="82">
        <v>84</v>
      </c>
      <c r="B203" s="142" t="s">
        <v>206</v>
      </c>
      <c r="C203" s="85" t="s">
        <v>205</v>
      </c>
      <c r="D203" s="54" t="s">
        <v>21</v>
      </c>
      <c r="E203" s="54" t="s">
        <v>22</v>
      </c>
      <c r="F203" s="20" t="s">
        <v>26</v>
      </c>
      <c r="G203" s="13">
        <v>45709</v>
      </c>
      <c r="H203" s="24">
        <v>21170</v>
      </c>
      <c r="I203" s="28">
        <v>477</v>
      </c>
      <c r="J203" s="16">
        <v>61</v>
      </c>
      <c r="K203" s="35">
        <f>(Table1[[#This Row],[unsub]]/Table1[[#This Row],[unique-sends]])*100</f>
        <v>0.1334529304950885</v>
      </c>
      <c r="L203" s="21">
        <f>Table1[[#This Row],[unique-opens]] / Table1[[#This Row],[unique-sends]] * 100</f>
        <v>46.314730140672516</v>
      </c>
      <c r="M203" s="37">
        <f>Table1[[#This Row],[unique-clicks]] / Table1[[#This Row],[unique-sends]] * 100</f>
        <v>1.0435581614124132</v>
      </c>
      <c r="N203" s="37">
        <f>Table1[[#This Row],[unique-clicks]] / Table1[[#This Row],[unique-opens]] * 100</f>
        <v>2.2531884742560226</v>
      </c>
      <c r="O203" s="37">
        <f>(MIN(Table1[[#This Row],[unique-opens]]/Table1[[#This Row],[unique-sends]],1)*50
 + MIN(Table1[[#This Row],[unique-clicks]]/Table1[[#This Row],[unique-sends]],1)*50)
 * (1 + MIN(Table1[[#This Row],[unique-clicks]]/Table1[[#This Row],[unique-sends]],1))
 - ((Table1[[#This Row],[unsub]]/Table1[[#This Row],[unique-sends]]*100)*2)</f>
        <v>23.659343931393099</v>
      </c>
      <c r="P203" s="37" t="str">
        <f>IF(Table1[[#This Row],[Engagement Score]]&lt;30,"🔴",IF(Table1[[#This Row],[Engagement Score]]&lt;40,"🟡","🟢"))</f>
        <v>🔴</v>
      </c>
      <c r="Q203" s="14"/>
      <c r="R203" s="16"/>
      <c r="S203" s="16"/>
      <c r="T203" s="130"/>
    </row>
    <row r="204" spans="1:20" ht="32.1" customHeight="1">
      <c r="A204" s="82">
        <v>84</v>
      </c>
      <c r="B204" s="142" t="s">
        <v>207</v>
      </c>
      <c r="C204" s="70" t="s">
        <v>208</v>
      </c>
      <c r="D204" s="15" t="s">
        <v>21</v>
      </c>
      <c r="E204" s="15" t="s">
        <v>22</v>
      </c>
      <c r="F204" s="15" t="s">
        <v>26</v>
      </c>
      <c r="G204" s="13">
        <v>40906</v>
      </c>
      <c r="H204" s="24">
        <v>29830</v>
      </c>
      <c r="I204" s="28">
        <v>2259</v>
      </c>
      <c r="J204" s="16">
        <v>11</v>
      </c>
      <c r="K204" s="35">
        <f>(Table1[[#This Row],[unsub]]/Table1[[#This Row],[unique-sends]])*100</f>
        <v>2.68909206473378E-2</v>
      </c>
      <c r="L204" s="21">
        <f>Table1[[#This Row],[unique-opens]] / Table1[[#This Row],[unique-sends]] * 100</f>
        <v>72.923287537280586</v>
      </c>
      <c r="M204" s="37">
        <f>Table1[[#This Row],[unique-clicks]] / Table1[[#This Row],[unique-sends]] * 100</f>
        <v>5.5224172493032802</v>
      </c>
      <c r="N204" s="37">
        <f>Table1[[#This Row],[unique-clicks]] / Table1[[#This Row],[unique-opens]] * 100</f>
        <v>7.572913174656386</v>
      </c>
      <c r="O204" s="37">
        <f>(MIN(Table1[[#This Row],[unique-opens]]/Table1[[#This Row],[unique-sends]],1)*50
 + MIN(Table1[[#This Row],[unique-clicks]]/Table1[[#This Row],[unique-sends]],1)*50)
 * (1 + MIN(Table1[[#This Row],[unique-clicks]]/Table1[[#This Row],[unique-sends]],1))
 - ((Table1[[#This Row],[unsub]]/Table1[[#This Row],[unique-sends]]*100)*2)</f>
        <v>41.335120118233171</v>
      </c>
      <c r="P204" s="37" t="str">
        <f>IF(Table1[[#This Row],[Engagement Score]]&lt;30,"🔴",IF(Table1[[#This Row],[Engagement Score]]&lt;40,"🟡","🟢"))</f>
        <v>🟢</v>
      </c>
      <c r="Q204" s="14"/>
      <c r="R204" s="16"/>
      <c r="S204" s="16"/>
      <c r="T204" s="130"/>
    </row>
    <row r="205" spans="1:20" ht="32.1" customHeight="1">
      <c r="A205" s="82">
        <v>86</v>
      </c>
      <c r="B205" s="144" t="s">
        <v>209</v>
      </c>
      <c r="C205" s="70" t="s">
        <v>210</v>
      </c>
      <c r="D205" s="15" t="s">
        <v>28</v>
      </c>
      <c r="E205" s="54" t="s">
        <v>22</v>
      </c>
      <c r="F205" s="15" t="s">
        <v>26</v>
      </c>
      <c r="G205" s="13">
        <v>49299</v>
      </c>
      <c r="H205" s="24">
        <v>55085</v>
      </c>
      <c r="I205" s="28">
        <v>1282</v>
      </c>
      <c r="J205" s="16">
        <v>87</v>
      </c>
      <c r="K205" s="35">
        <f>(Table1[[#This Row],[unsub]]/Table1[[#This Row],[unique-sends]])*100</f>
        <v>0.17647416783301895</v>
      </c>
      <c r="L205" s="21">
        <f>Table1[[#This Row],[unique-opens]] / Table1[[#This Row],[unique-sends]] * 100</f>
        <v>111.73654638025113</v>
      </c>
      <c r="M205" s="37">
        <f>Table1[[#This Row],[unique-clicks]] / Table1[[#This Row],[unique-sends]] * 100</f>
        <v>2.6004584271486237</v>
      </c>
      <c r="N205" s="37">
        <f>Table1[[#This Row],[unique-clicks]] / Table1[[#This Row],[unique-opens]] * 100</f>
        <v>2.3273123354815284</v>
      </c>
      <c r="O205" s="37">
        <f>(MIN(Table1[[#This Row],[unique-opens]]/Table1[[#This Row],[unique-sends]],1)*50
 + MIN(Table1[[#This Row],[unique-clicks]]/Table1[[#This Row],[unique-sends]],1)*50)
 * (1 + MIN(Table1[[#This Row],[unique-clicks]]/Table1[[#This Row],[unique-sends]],1))
 - ((Table1[[#This Row],[unsub]]/Table1[[#This Row],[unique-sends]]*100)*2)</f>
        <v>52.281322011639226</v>
      </c>
      <c r="P205" s="37" t="str">
        <f>IF(Table1[[#This Row],[Engagement Score]]&lt;30,"🔴",IF(Table1[[#This Row],[Engagement Score]]&lt;40,"🟡","🟢"))</f>
        <v>🟢</v>
      </c>
      <c r="Q205" s="14"/>
      <c r="R205" s="16"/>
      <c r="S205" s="16"/>
      <c r="T205" s="130"/>
    </row>
    <row r="206" spans="1:20" ht="32.1" customHeight="1">
      <c r="A206" s="82">
        <v>86</v>
      </c>
      <c r="B206" s="136" t="s">
        <v>211</v>
      </c>
      <c r="C206" s="70" t="s">
        <v>210</v>
      </c>
      <c r="D206" s="38" t="s">
        <v>21</v>
      </c>
      <c r="E206" s="15" t="s">
        <v>22</v>
      </c>
      <c r="F206" s="15" t="s">
        <v>26</v>
      </c>
      <c r="G206" s="13">
        <v>761896</v>
      </c>
      <c r="H206" s="24">
        <v>622380</v>
      </c>
      <c r="I206" s="28">
        <v>10315</v>
      </c>
      <c r="J206" s="16">
        <v>882</v>
      </c>
      <c r="K206" s="35">
        <f>(Table1[[#This Row],[unsub]]/Table1[[#This Row],[unique-sends]])*100</f>
        <v>0.11576383128405977</v>
      </c>
      <c r="L206" s="21">
        <f>Table1[[#This Row],[unique-opens]] / Table1[[#This Row],[unique-sends]] * 100</f>
        <v>81.688314415615778</v>
      </c>
      <c r="M206" s="37">
        <f>Table1[[#This Row],[unique-clicks]] / Table1[[#This Row],[unique-sends]] * 100</f>
        <v>1.3538593193821729</v>
      </c>
      <c r="N206" s="37">
        <f>Table1[[#This Row],[unique-clicks]] / Table1[[#This Row],[unique-opens]] * 100</f>
        <v>1.6573476011439956</v>
      </c>
      <c r="O206" s="37">
        <f>(MIN(Table1[[#This Row],[unique-opens]]/Table1[[#This Row],[unique-sends]],1)*50
 + MIN(Table1[[#This Row],[unique-clicks]]/Table1[[#This Row],[unique-sends]],1)*50)
 * (1 + MIN(Table1[[#This Row],[unique-clicks]]/Table1[[#This Row],[unique-sends]],1))
 - ((Table1[[#This Row],[unsub]]/Table1[[#This Row],[unique-sends]]*100)*2)</f>
        <v>41.851696308995251</v>
      </c>
      <c r="P206" s="37" t="str">
        <f>IF(Table1[[#This Row],[Engagement Score]]&lt;30,"🔴",IF(Table1[[#This Row],[Engagement Score]]&lt;40,"🟡","🟢"))</f>
        <v>🟢</v>
      </c>
      <c r="Q206" s="14"/>
      <c r="R206" s="16"/>
      <c r="S206" s="16"/>
      <c r="T206" s="130"/>
    </row>
    <row r="207" spans="1:20" ht="32.1" customHeight="1">
      <c r="A207" s="81">
        <v>31</v>
      </c>
      <c r="B207" s="145" t="s">
        <v>212</v>
      </c>
      <c r="C207" s="68" t="s">
        <v>213</v>
      </c>
      <c r="D207" s="41" t="s">
        <v>28</v>
      </c>
      <c r="E207" s="54" t="s">
        <v>25</v>
      </c>
      <c r="F207" s="20" t="s">
        <v>26</v>
      </c>
      <c r="G207" s="9">
        <v>983</v>
      </c>
      <c r="H207" s="25">
        <v>905</v>
      </c>
      <c r="I207" s="29">
        <v>71</v>
      </c>
      <c r="J207" s="16">
        <v>0</v>
      </c>
      <c r="K207" s="35">
        <f>(Table1[[#This Row],[unsub]]/Table1[[#This Row],[unique-sends]])*100</f>
        <v>0</v>
      </c>
      <c r="L207" s="6">
        <f>Table1[[#This Row],[unique-opens]] / Table1[[#This Row],[unique-sends]] * 100</f>
        <v>92.065106815869797</v>
      </c>
      <c r="M207" s="31">
        <f>Table1[[#This Row],[unique-clicks]] / Table1[[#This Row],[unique-sends]] * 100</f>
        <v>7.222787385554426</v>
      </c>
      <c r="N207" s="37">
        <f>Table1[[#This Row],[unique-clicks]] / Table1[[#This Row],[unique-opens]] * 100</f>
        <v>7.8453038674033149</v>
      </c>
      <c r="O207" s="37">
        <f>(MIN(Table1[[#This Row],[unique-opens]]/Table1[[#This Row],[unique-sends]],1)*50
 + MIN(Table1[[#This Row],[unique-clicks]]/Table1[[#This Row],[unique-sends]],1)*50)
 * (1 + MIN(Table1[[#This Row],[unique-clicks]]/Table1[[#This Row],[unique-sends]],1))
 - ((Table1[[#This Row],[unsub]]/Table1[[#This Row],[unique-sends]]*100)*2)</f>
        <v>53.229623849593658</v>
      </c>
      <c r="P207" s="37" t="str">
        <f>IF(Table1[[#This Row],[Engagement Score]]&lt;30,"🔴",IF(Table1[[#This Row],[Engagement Score]]&lt;40,"🟡","🟢"))</f>
        <v>🟢</v>
      </c>
      <c r="Q207" s="14"/>
      <c r="R207" s="16"/>
      <c r="S207" s="16"/>
      <c r="T207" s="130"/>
    </row>
    <row r="208" spans="1:20" ht="32.1" customHeight="1">
      <c r="A208" s="81">
        <v>31</v>
      </c>
      <c r="B208" s="145" t="s">
        <v>214</v>
      </c>
      <c r="C208" s="68" t="s">
        <v>213</v>
      </c>
      <c r="D208" s="20" t="s">
        <v>21</v>
      </c>
      <c r="E208" s="54" t="s">
        <v>25</v>
      </c>
      <c r="F208" s="20" t="s">
        <v>26</v>
      </c>
      <c r="G208" s="9">
        <v>8914</v>
      </c>
      <c r="H208" s="25">
        <v>6314</v>
      </c>
      <c r="I208" s="29">
        <v>359</v>
      </c>
      <c r="J208" s="11">
        <v>6</v>
      </c>
      <c r="K208" s="36">
        <f>(Table1[[#This Row],[unsub]]/Table1[[#This Row],[unique-sends]])*100</f>
        <v>6.7309849674669062E-2</v>
      </c>
      <c r="L208" s="6">
        <f>Table1[[#This Row],[unique-opens]] / Table1[[#This Row],[unique-sends]] * 100</f>
        <v>70.832398474310082</v>
      </c>
      <c r="M208" s="31">
        <f>Table1[[#This Row],[unique-clicks]] / Table1[[#This Row],[unique-sends]] * 100</f>
        <v>4.0273726722010323</v>
      </c>
      <c r="N208" s="37">
        <f>Table1[[#This Row],[unique-clicks]] / Table1[[#This Row],[unique-opens]] * 100</f>
        <v>5.6857776369971491</v>
      </c>
      <c r="O208" s="37">
        <f>(MIN(Table1[[#This Row],[unique-opens]]/Table1[[#This Row],[unique-sends]],1)*50
 + MIN(Table1[[#This Row],[unique-clicks]]/Table1[[#This Row],[unique-sends]],1)*50)
 * (1 + MIN(Table1[[#This Row],[unique-clicks]]/Table1[[#This Row],[unique-sends]],1))
 - ((Table1[[#This Row],[unsub]]/Table1[[#This Row],[unique-sends]]*100)*2)</f>
        <v>38.802706856719638</v>
      </c>
      <c r="P208" s="37" t="str">
        <f>IF(Table1[[#This Row],[Engagement Score]]&lt;30,"🔴",IF(Table1[[#This Row],[Engagement Score]]&lt;40,"🟡","🟢"))</f>
        <v>🟡</v>
      </c>
      <c r="Q208" s="10"/>
      <c r="R208" s="11"/>
      <c r="S208" s="11"/>
      <c r="T208" s="88"/>
    </row>
    <row r="209" spans="1:20" ht="32.1" customHeight="1">
      <c r="A209" s="82">
        <v>31</v>
      </c>
      <c r="B209" s="142" t="s">
        <v>215</v>
      </c>
      <c r="C209" s="67" t="s">
        <v>213</v>
      </c>
      <c r="D209" s="20" t="s">
        <v>28</v>
      </c>
      <c r="E209" s="54" t="s">
        <v>25</v>
      </c>
      <c r="F209" s="20" t="s">
        <v>26</v>
      </c>
      <c r="G209" s="13">
        <v>623</v>
      </c>
      <c r="H209" s="24">
        <v>208</v>
      </c>
      <c r="I209" s="28">
        <v>15</v>
      </c>
      <c r="J209" s="16">
        <v>0</v>
      </c>
      <c r="K209" s="36">
        <f>(Table1[[#This Row],[unsub]]/Table1[[#This Row],[unique-sends]])*100</f>
        <v>0</v>
      </c>
      <c r="L209" s="6">
        <f>Table1[[#This Row],[unique-opens]] / Table1[[#This Row],[unique-sends]] * 100</f>
        <v>33.386837881219904</v>
      </c>
      <c r="M209" s="31">
        <f>Table1[[#This Row],[unique-clicks]] / Table1[[#This Row],[unique-sends]] * 100</f>
        <v>2.4077046548956664</v>
      </c>
      <c r="N209" s="37">
        <f>Table1[[#This Row],[unique-clicks]] / Table1[[#This Row],[unique-opens]] * 100</f>
        <v>7.2115384615384608</v>
      </c>
      <c r="O209" s="37">
        <f>(MIN(Table1[[#This Row],[unique-opens]]/Table1[[#This Row],[unique-sends]],1)*50
 + MIN(Table1[[#This Row],[unique-clicks]]/Table1[[#This Row],[unique-sends]],1)*50)
 * (1 + MIN(Table1[[#This Row],[unique-clicks]]/Table1[[#This Row],[unique-sends]],1))
 - ((Table1[[#This Row],[unsub]]/Table1[[#This Row],[unique-sends]]*100)*2)</f>
        <v>18.328184701478115</v>
      </c>
      <c r="P209" s="37" t="str">
        <f>IF(Table1[[#This Row],[Engagement Score]]&lt;30,"🔴",IF(Table1[[#This Row],[Engagement Score]]&lt;40,"🟡","🟢"))</f>
        <v>🔴</v>
      </c>
      <c r="Q209" s="14"/>
      <c r="R209" s="16"/>
      <c r="S209" s="16"/>
      <c r="T209" s="130"/>
    </row>
    <row r="210" spans="1:20" ht="32.1" customHeight="1">
      <c r="A210" s="82">
        <v>31</v>
      </c>
      <c r="B210" s="142" t="s">
        <v>215</v>
      </c>
      <c r="C210" s="67" t="s">
        <v>213</v>
      </c>
      <c r="D210" s="41" t="s">
        <v>21</v>
      </c>
      <c r="E210" s="54" t="s">
        <v>25</v>
      </c>
      <c r="F210" s="20" t="s">
        <v>26</v>
      </c>
      <c r="G210" s="13">
        <v>3214</v>
      </c>
      <c r="H210" s="24">
        <v>3399</v>
      </c>
      <c r="I210" s="28">
        <v>290</v>
      </c>
      <c r="J210" s="16">
        <v>1</v>
      </c>
      <c r="K210" s="36">
        <f>(Table1[[#This Row],[unsub]]/Table1[[#This Row],[unique-sends]])*100</f>
        <v>3.1113876789047916E-2</v>
      </c>
      <c r="L210" s="6">
        <f>Table1[[#This Row],[unique-opens]] / Table1[[#This Row],[unique-sends]] * 100</f>
        <v>105.75606720597386</v>
      </c>
      <c r="M210" s="31">
        <f>Table1[[#This Row],[unique-clicks]] / Table1[[#This Row],[unique-sends]] * 100</f>
        <v>9.023024268823896</v>
      </c>
      <c r="N210" s="37">
        <f>Table1[[#This Row],[unique-clicks]] / Table1[[#This Row],[unique-opens]] * 100</f>
        <v>8.5319211532803774</v>
      </c>
      <c r="O210" s="37">
        <f>(MIN(Table1[[#This Row],[unique-opens]]/Table1[[#This Row],[unique-sends]],1)*50
 + MIN(Table1[[#This Row],[unique-clicks]]/Table1[[#This Row],[unique-sends]],1)*50)
 * (1 + MIN(Table1[[#This Row],[unique-clicks]]/Table1[[#This Row],[unique-sends]],1))
 - ((Table1[[#This Row],[unsub]]/Table1[[#This Row],[unique-sends]]*100)*2)</f>
        <v>59.367871350024721</v>
      </c>
      <c r="P210" s="37" t="str">
        <f>IF(Table1[[#This Row],[Engagement Score]]&lt;30,"🔴",IF(Table1[[#This Row],[Engagement Score]]&lt;40,"🟡","🟢"))</f>
        <v>🟢</v>
      </c>
      <c r="Q210" s="14"/>
      <c r="R210" s="16"/>
      <c r="S210" s="16"/>
      <c r="T210" s="130"/>
    </row>
    <row r="211" spans="1:20" ht="32.1" customHeight="1">
      <c r="A211" s="82">
        <v>73</v>
      </c>
      <c r="B211" s="146" t="s">
        <v>216</v>
      </c>
      <c r="C211" s="89" t="s">
        <v>217</v>
      </c>
      <c r="D211" s="90" t="s">
        <v>21</v>
      </c>
      <c r="E211" s="90" t="s">
        <v>68</v>
      </c>
      <c r="F211" s="90" t="s">
        <v>26</v>
      </c>
      <c r="G211" s="89">
        <v>83423</v>
      </c>
      <c r="H211" s="89">
        <v>54839</v>
      </c>
      <c r="I211" s="89">
        <v>16241</v>
      </c>
      <c r="J211" s="89">
        <v>127</v>
      </c>
      <c r="K211" s="35">
        <f>(Table1[[#This Row],[unsub]]/Table1[[#This Row],[unique-sends]])*100</f>
        <v>0.15223619385541157</v>
      </c>
      <c r="L211" s="6">
        <f>Table1[[#This Row],[unique-opens]] / Table1[[#This Row],[unique-sends]] * 100</f>
        <v>65.736067990841846</v>
      </c>
      <c r="M211" s="31">
        <f>Table1[[#This Row],[unique-clicks]] / Table1[[#This Row],[unique-sends]] * 100</f>
        <v>19.468252160675114</v>
      </c>
      <c r="N211" s="37">
        <f>Table1[[#This Row],[unique-clicks]] / Table1[[#This Row],[unique-opens]] * 100</f>
        <v>29.615784387023837</v>
      </c>
      <c r="O211" s="37">
        <f>(MIN(Table1[[#This Row],[unique-opens]]/Table1[[#This Row],[unique-sends]],1)*50
 + MIN(Table1[[#This Row],[unique-clicks]]/Table1[[#This Row],[unique-sends]],1)*50)
 * (1 + MIN(Table1[[#This Row],[unique-clicks]]/Table1[[#This Row],[unique-sends]],1))
 - ((Table1[[#This Row],[unsub]]/Table1[[#This Row],[unique-sends]]*100)*2)</f>
        <v>50.591583637490771</v>
      </c>
      <c r="P211" s="37" t="str">
        <f>IF(Table1[[#This Row],[Engagement Score]]&lt;30,"🔴",IF(Table1[[#This Row],[Engagement Score]]&lt;40,"🟡","🟢"))</f>
        <v>🟢</v>
      </c>
      <c r="Q211" s="14">
        <v>75.5</v>
      </c>
      <c r="R211" s="16">
        <v>16.100000000000001</v>
      </c>
      <c r="S211" s="16">
        <v>8.4</v>
      </c>
      <c r="T211" s="104" t="s">
        <v>218</v>
      </c>
    </row>
    <row r="212" spans="1:20" ht="32.1" customHeight="1">
      <c r="A212" s="81">
        <v>73</v>
      </c>
      <c r="B212" s="146" t="s">
        <v>219</v>
      </c>
      <c r="C212" s="89" t="s">
        <v>217</v>
      </c>
      <c r="D212" s="90" t="s">
        <v>21</v>
      </c>
      <c r="E212" s="90" t="s">
        <v>68</v>
      </c>
      <c r="F212" s="90" t="s">
        <v>26</v>
      </c>
      <c r="G212" s="89">
        <v>82911</v>
      </c>
      <c r="H212" s="89">
        <v>54273</v>
      </c>
      <c r="I212" s="89">
        <v>15898</v>
      </c>
      <c r="J212" s="89">
        <v>131</v>
      </c>
      <c r="K212" s="35">
        <f>(Table1[[#This Row],[unsub]]/Table1[[#This Row],[unique-sends]])*100</f>
        <v>0.1580007477897987</v>
      </c>
      <c r="L212" s="6">
        <f>Table1[[#This Row],[unique-opens]] / Table1[[#This Row],[unique-sends]] * 100</f>
        <v>65.459347975540041</v>
      </c>
      <c r="M212" s="31">
        <f>Table1[[#This Row],[unique-clicks]] / Table1[[#This Row],[unique-sends]] * 100</f>
        <v>19.174777773757405</v>
      </c>
      <c r="N212" s="37">
        <f>Table1[[#This Row],[unique-clicks]] / Table1[[#This Row],[unique-opens]] * 100</f>
        <v>29.292650120686158</v>
      </c>
      <c r="O212" s="37">
        <f>(MIN(Table1[[#This Row],[unique-opens]]/Table1[[#This Row],[unique-sends]],1)*50
 + MIN(Table1[[#This Row],[unique-clicks]]/Table1[[#This Row],[unique-sends]],1)*50)
 * (1 + MIN(Table1[[#This Row],[unique-clicks]]/Table1[[#This Row],[unique-sends]],1))
 - ((Table1[[#This Row],[unsub]]/Table1[[#This Row],[unique-sends]]*100)*2)</f>
        <v>50.11526414566422</v>
      </c>
      <c r="P212" s="37" t="str">
        <f>IF(Table1[[#This Row],[Engagement Score]]&lt;30,"🔴",IF(Table1[[#This Row],[Engagement Score]]&lt;40,"🟡","🟢"))</f>
        <v>🟢</v>
      </c>
      <c r="Q212" s="14">
        <v>75.5</v>
      </c>
      <c r="R212" s="16">
        <v>16.100000000000001</v>
      </c>
      <c r="S212" s="16">
        <v>8.4</v>
      </c>
      <c r="T212" s="104" t="s">
        <v>218</v>
      </c>
    </row>
    <row r="213" spans="1:20" ht="32.1" customHeight="1">
      <c r="A213" s="82">
        <v>73</v>
      </c>
      <c r="B213" s="146" t="s">
        <v>220</v>
      </c>
      <c r="C213" s="89" t="s">
        <v>217</v>
      </c>
      <c r="D213" s="90" t="s">
        <v>21</v>
      </c>
      <c r="E213" s="90" t="s">
        <v>68</v>
      </c>
      <c r="F213" s="90" t="s">
        <v>26</v>
      </c>
      <c r="G213" s="89">
        <v>81948</v>
      </c>
      <c r="H213" s="89">
        <v>55584</v>
      </c>
      <c r="I213" s="89">
        <v>19286</v>
      </c>
      <c r="J213" s="89">
        <v>106</v>
      </c>
      <c r="K213" s="35">
        <f>(Table1[[#This Row],[unsub]]/Table1[[#This Row],[unique-sends]])*100</f>
        <v>0.12935031971494118</v>
      </c>
      <c r="L213" s="6">
        <f>Table1[[#This Row],[unique-opens]] / Table1[[#This Row],[unique-sends]] * 100</f>
        <v>67.828378972031047</v>
      </c>
      <c r="M213" s="31">
        <f>Table1[[#This Row],[unique-clicks]] / Table1[[#This Row],[unique-sends]] * 100</f>
        <v>23.534436471909014</v>
      </c>
      <c r="N213" s="37">
        <f>Table1[[#This Row],[unique-clicks]] / Table1[[#This Row],[unique-opens]] * 100</f>
        <v>34.697035118019578</v>
      </c>
      <c r="O213" s="37">
        <f>(MIN(Table1[[#This Row],[unique-opens]]/Table1[[#This Row],[unique-sends]],1)*50
 + MIN(Table1[[#This Row],[unique-clicks]]/Table1[[#This Row],[unique-sends]],1)*50)
 * (1 + MIN(Table1[[#This Row],[unique-clicks]]/Table1[[#This Row],[unique-sends]],1))
 - ((Table1[[#This Row],[unsub]]/Table1[[#This Row],[unique-sends]]*100)*2)</f>
        <v>56.173568962340923</v>
      </c>
      <c r="P213" s="37" t="str">
        <f>IF(Table1[[#This Row],[Engagement Score]]&lt;30,"🔴",IF(Table1[[#This Row],[Engagement Score]]&lt;40,"🟡","🟢"))</f>
        <v>🟢</v>
      </c>
      <c r="Q213" s="14">
        <v>75.5</v>
      </c>
      <c r="R213" s="16">
        <v>16.100000000000001</v>
      </c>
      <c r="S213" s="16">
        <v>8.4</v>
      </c>
      <c r="T213" s="104" t="s">
        <v>218</v>
      </c>
    </row>
    <row r="214" spans="1:20" ht="32.1" customHeight="1">
      <c r="A214" s="82">
        <v>73</v>
      </c>
      <c r="B214" s="146" t="s">
        <v>221</v>
      </c>
      <c r="C214" s="89" t="s">
        <v>217</v>
      </c>
      <c r="D214" s="90" t="s">
        <v>21</v>
      </c>
      <c r="E214" s="90" t="s">
        <v>68</v>
      </c>
      <c r="F214" s="90" t="s">
        <v>26</v>
      </c>
      <c r="G214" s="89">
        <v>80916</v>
      </c>
      <c r="H214" s="89">
        <v>56272</v>
      </c>
      <c r="I214" s="89">
        <v>17912</v>
      </c>
      <c r="J214" s="89">
        <v>80</v>
      </c>
      <c r="K214" s="35">
        <f>(Table1[[#This Row],[unsub]]/Table1[[#This Row],[unique-sends]])*100</f>
        <v>9.8867961836966722E-2</v>
      </c>
      <c r="L214" s="6">
        <f>Table1[[#This Row],[unique-opens]] / Table1[[#This Row],[unique-sends]] * 100</f>
        <v>69.543724356122397</v>
      </c>
      <c r="M214" s="31">
        <f>Table1[[#This Row],[unique-clicks]] / Table1[[#This Row],[unique-sends]] * 100</f>
        <v>22.136536655296851</v>
      </c>
      <c r="N214" s="37">
        <f>Table1[[#This Row],[unique-clicks]] / Table1[[#This Row],[unique-opens]] * 100</f>
        <v>31.83110605629798</v>
      </c>
      <c r="O214" s="37">
        <f>(MIN(Table1[[#This Row],[unique-opens]]/Table1[[#This Row],[unique-sends]],1)*50
 + MIN(Table1[[#This Row],[unique-clicks]]/Table1[[#This Row],[unique-sends]],1)*50)
 * (1 + MIN(Table1[[#This Row],[unique-clicks]]/Table1[[#This Row],[unique-sends]],1))
 - ((Table1[[#This Row],[unsub]]/Table1[[#This Row],[unique-sends]]*100)*2)</f>
        <v>55.789811874268011</v>
      </c>
      <c r="P214" s="37" t="str">
        <f>IF(Table1[[#This Row],[Engagement Score]]&lt;30,"🔴",IF(Table1[[#This Row],[Engagement Score]]&lt;40,"🟡","🟢"))</f>
        <v>🟢</v>
      </c>
      <c r="Q214" s="14">
        <v>75.5</v>
      </c>
      <c r="R214" s="16">
        <v>16.100000000000001</v>
      </c>
      <c r="S214" s="16">
        <v>8.4</v>
      </c>
      <c r="T214" s="104" t="s">
        <v>218</v>
      </c>
    </row>
    <row r="215" spans="1:20" ht="32.1" customHeight="1">
      <c r="A215" s="82">
        <v>73</v>
      </c>
      <c r="B215" s="146" t="s">
        <v>222</v>
      </c>
      <c r="C215" s="89" t="s">
        <v>217</v>
      </c>
      <c r="D215" s="90" t="s">
        <v>21</v>
      </c>
      <c r="E215" s="90" t="s">
        <v>68</v>
      </c>
      <c r="F215" s="90" t="s">
        <v>26</v>
      </c>
      <c r="G215" s="89">
        <v>80079</v>
      </c>
      <c r="H215" s="89">
        <v>51285</v>
      </c>
      <c r="I215" s="89">
        <v>10591</v>
      </c>
      <c r="J215" s="89">
        <v>103</v>
      </c>
      <c r="K215" s="35">
        <f>(Table1[[#This Row],[unsub]]/Table1[[#This Row],[unique-sends]])*100</f>
        <v>0.1286229848025075</v>
      </c>
      <c r="L215" s="6">
        <f>Table1[[#This Row],[unique-opens]] / Table1[[#This Row],[unique-sends]] * 100</f>
        <v>64.043007530064074</v>
      </c>
      <c r="M215" s="31">
        <f>Table1[[#This Row],[unique-clicks]] / Table1[[#This Row],[unique-sends]] * 100</f>
        <v>13.225689631488905</v>
      </c>
      <c r="N215" s="37">
        <f>Table1[[#This Row],[unique-clicks]] / Table1[[#This Row],[unique-opens]] * 100</f>
        <v>20.651262552403239</v>
      </c>
      <c r="O215" s="37">
        <f>(MIN(Table1[[#This Row],[unique-opens]]/Table1[[#This Row],[unique-sends]],1)*50
 + MIN(Table1[[#This Row],[unique-clicks]]/Table1[[#This Row],[unique-sends]],1)*50)
 * (1 + MIN(Table1[[#This Row],[unique-clicks]]/Table1[[#This Row],[unique-sends]],1))
 - ((Table1[[#This Row],[unsub]]/Table1[[#This Row],[unique-sends]]*100)*2)</f>
        <v>43.486761645612511</v>
      </c>
      <c r="P215" s="37" t="str">
        <f>IF(Table1[[#This Row],[Engagement Score]]&lt;30,"🔴",IF(Table1[[#This Row],[Engagement Score]]&lt;40,"🟡","🟢"))</f>
        <v>🟢</v>
      </c>
      <c r="Q215" s="14">
        <v>75.5</v>
      </c>
      <c r="R215" s="16">
        <v>16.100000000000001</v>
      </c>
      <c r="S215" s="16">
        <v>8.4</v>
      </c>
      <c r="T215" s="104" t="s">
        <v>218</v>
      </c>
    </row>
    <row r="216" spans="1:20" ht="32.1" customHeight="1">
      <c r="A216" s="82">
        <v>73</v>
      </c>
      <c r="B216" s="146" t="s">
        <v>223</v>
      </c>
      <c r="C216" s="89" t="s">
        <v>217</v>
      </c>
      <c r="D216" s="90" t="s">
        <v>21</v>
      </c>
      <c r="E216" s="90" t="s">
        <v>68</v>
      </c>
      <c r="F216" s="90" t="s">
        <v>26</v>
      </c>
      <c r="G216" s="89">
        <v>41097</v>
      </c>
      <c r="H216" s="89">
        <v>22257</v>
      </c>
      <c r="I216" s="89">
        <v>8566</v>
      </c>
      <c r="J216" s="89">
        <v>0</v>
      </c>
      <c r="K216" s="35">
        <f>(Table1[[#This Row],[unsub]]/Table1[[#This Row],[unique-sends]])*100</f>
        <v>0</v>
      </c>
      <c r="L216" s="6">
        <f>Table1[[#This Row],[unique-opens]] / Table1[[#This Row],[unique-sends]] * 100</f>
        <v>54.157237754580621</v>
      </c>
      <c r="M216" s="31">
        <f>Table1[[#This Row],[unique-clicks]] / Table1[[#This Row],[unique-sends]] * 100</f>
        <v>20.84337056232815</v>
      </c>
      <c r="N216" s="37">
        <f>Table1[[#This Row],[unique-clicks]] / Table1[[#This Row],[unique-opens]] * 100</f>
        <v>38.486768207754864</v>
      </c>
      <c r="O216" s="37">
        <f>(MIN(Table1[[#This Row],[unique-opens]]/Table1[[#This Row],[unique-sends]],1)*50
 + MIN(Table1[[#This Row],[unique-clicks]]/Table1[[#This Row],[unique-sends]],1)*50)
 * (1 + MIN(Table1[[#This Row],[unique-clicks]]/Table1[[#This Row],[unique-sends]],1))
 - ((Table1[[#This Row],[unsub]]/Table1[[#This Row],[unique-sends]]*100)*2)</f>
        <v>45.316631516201184</v>
      </c>
      <c r="P216" s="37" t="str">
        <f>IF(Table1[[#This Row],[Engagement Score]]&lt;30,"🔴",IF(Table1[[#This Row],[Engagement Score]]&lt;40,"🟡","🟢"))</f>
        <v>🟢</v>
      </c>
      <c r="Q216" s="14">
        <v>75.5</v>
      </c>
      <c r="R216" s="16">
        <v>16.100000000000001</v>
      </c>
      <c r="S216" s="16">
        <v>8.4</v>
      </c>
      <c r="T216" s="104" t="s">
        <v>218</v>
      </c>
    </row>
    <row r="217" spans="1:20" ht="32.1" customHeight="1">
      <c r="A217" s="82">
        <v>73</v>
      </c>
      <c r="B217" s="146" t="s">
        <v>224</v>
      </c>
      <c r="C217" s="89" t="s">
        <v>225</v>
      </c>
      <c r="D217" s="90" t="s">
        <v>21</v>
      </c>
      <c r="E217" s="90" t="s">
        <v>68</v>
      </c>
      <c r="F217" s="90" t="s">
        <v>26</v>
      </c>
      <c r="G217" s="89">
        <v>39958</v>
      </c>
      <c r="H217" s="89">
        <v>17124</v>
      </c>
      <c r="I217" s="89">
        <v>3736</v>
      </c>
      <c r="J217" s="89">
        <v>0</v>
      </c>
      <c r="K217" s="35">
        <f>(Table1[[#This Row],[unsub]]/Table1[[#This Row],[unique-sends]])*100</f>
        <v>0</v>
      </c>
      <c r="L217" s="6">
        <f>Table1[[#This Row],[unique-opens]] / Table1[[#This Row],[unique-sends]] * 100</f>
        <v>42.854997747635018</v>
      </c>
      <c r="M217" s="31">
        <f>Table1[[#This Row],[unique-clicks]] / Table1[[#This Row],[unique-sends]] * 100</f>
        <v>9.3498173081735825</v>
      </c>
      <c r="N217" s="37">
        <f>Table1[[#This Row],[unique-clicks]] / Table1[[#This Row],[unique-opens]] * 100</f>
        <v>21.817332398972201</v>
      </c>
      <c r="O217" s="37">
        <f>(MIN(Table1[[#This Row],[unique-opens]]/Table1[[#This Row],[unique-sends]],1)*50
 + MIN(Table1[[#This Row],[unique-clicks]]/Table1[[#This Row],[unique-sends]],1)*50)
 * (1 + MIN(Table1[[#This Row],[unique-clicks]]/Table1[[#This Row],[unique-sends]],1))
 - ((Table1[[#This Row],[unsub]]/Table1[[#This Row],[unique-sends]]*100)*2)</f>
        <v>28.542934944798304</v>
      </c>
      <c r="P217" s="37" t="str">
        <f>IF(Table1[[#This Row],[Engagement Score]]&lt;30,"🔴",IF(Table1[[#This Row],[Engagement Score]]&lt;40,"🟡","🟢"))</f>
        <v>🔴</v>
      </c>
      <c r="Q217" s="14">
        <v>75.5</v>
      </c>
      <c r="R217" s="16">
        <v>16.100000000000001</v>
      </c>
      <c r="S217" s="16">
        <v>8.4</v>
      </c>
      <c r="T217" s="104" t="s">
        <v>218</v>
      </c>
    </row>
    <row r="218" spans="1:20" ht="32.1" customHeight="1">
      <c r="A218" s="82">
        <v>73</v>
      </c>
      <c r="B218" s="146" t="s">
        <v>226</v>
      </c>
      <c r="C218" s="89" t="s">
        <v>217</v>
      </c>
      <c r="D218" s="90" t="s">
        <v>21</v>
      </c>
      <c r="E218" s="90" t="s">
        <v>68</v>
      </c>
      <c r="F218" s="90" t="s">
        <v>26</v>
      </c>
      <c r="G218" s="89">
        <v>39945</v>
      </c>
      <c r="H218" s="89">
        <v>19716</v>
      </c>
      <c r="I218" s="89">
        <v>6747</v>
      </c>
      <c r="J218" s="89">
        <v>0</v>
      </c>
      <c r="K218" s="36">
        <f>(Table1[[#This Row],[unsub]]/Table1[[#This Row],[unique-sends]])*100</f>
        <v>0</v>
      </c>
      <c r="L218" s="21">
        <f>Table1[[#This Row],[unique-opens]] / Table1[[#This Row],[unique-sends]] * 100</f>
        <v>49.357867067217427</v>
      </c>
      <c r="M218" s="37">
        <f>Table1[[#This Row],[unique-clicks]] / Table1[[#This Row],[unique-sends]] * 100</f>
        <v>16.890724746526473</v>
      </c>
      <c r="N218" s="37">
        <f>Table1[[#This Row],[unique-clicks]] / Table1[[#This Row],[unique-opens]] * 100</f>
        <v>34.220937309799147</v>
      </c>
      <c r="O218" s="37">
        <f>(MIN(Table1[[#This Row],[unique-opens]]/Table1[[#This Row],[unique-sends]],1)*50
 + MIN(Table1[[#This Row],[unique-clicks]]/Table1[[#This Row],[unique-sends]],1)*50)
 * (1 + MIN(Table1[[#This Row],[unique-clicks]]/Table1[[#This Row],[unique-sends]],1))
 - ((Table1[[#This Row],[unsub]]/Table1[[#This Row],[unique-sends]]*100)*2)</f>
        <v>38.719229552726624</v>
      </c>
      <c r="P218" s="37" t="str">
        <f>IF(Table1[[#This Row],[Engagement Score]]&lt;30,"🔴",IF(Table1[[#This Row],[Engagement Score]]&lt;40,"🟡","🟢"))</f>
        <v>🟡</v>
      </c>
      <c r="Q218" s="14">
        <v>75.5</v>
      </c>
      <c r="R218" s="16">
        <v>16.100000000000001</v>
      </c>
      <c r="S218" s="16">
        <v>8.4</v>
      </c>
      <c r="T218" s="104" t="s">
        <v>218</v>
      </c>
    </row>
    <row r="219" spans="1:20" ht="32.1" customHeight="1">
      <c r="A219" s="82">
        <v>73</v>
      </c>
      <c r="B219" s="146" t="s">
        <v>227</v>
      </c>
      <c r="C219" s="89" t="s">
        <v>217</v>
      </c>
      <c r="D219" s="90" t="s">
        <v>21</v>
      </c>
      <c r="E219" s="90" t="s">
        <v>68</v>
      </c>
      <c r="F219" s="90" t="s">
        <v>26</v>
      </c>
      <c r="G219" s="89">
        <v>30177</v>
      </c>
      <c r="H219" s="89">
        <v>13936</v>
      </c>
      <c r="I219" s="89">
        <v>4957</v>
      </c>
      <c r="J219" s="89">
        <v>0</v>
      </c>
      <c r="K219" s="36">
        <f>(Table1[[#This Row],[unsub]]/Table1[[#This Row],[unique-sends]])*100</f>
        <v>0</v>
      </c>
      <c r="L219" s="44">
        <f>Table1[[#This Row],[unique-opens]] / Table1[[#This Row],[unique-sends]] * 100</f>
        <v>46.180866222619876</v>
      </c>
      <c r="M219" s="45">
        <f>Table1[[#This Row],[unique-clicks]] / Table1[[#This Row],[unique-sends]] * 100</f>
        <v>16.426417470258805</v>
      </c>
      <c r="N219" s="37">
        <f>Table1[[#This Row],[unique-clicks]] / Table1[[#This Row],[unique-opens]] * 100</f>
        <v>35.56974741676234</v>
      </c>
      <c r="O219" s="37">
        <f>(MIN(Table1[[#This Row],[unique-opens]]/Table1[[#This Row],[unique-sends]],1)*50
 + MIN(Table1[[#This Row],[unique-clicks]]/Table1[[#This Row],[unique-sends]],1)*50)
 * (1 + MIN(Table1[[#This Row],[unique-clicks]]/Table1[[#This Row],[unique-sends]],1))
 - ((Table1[[#This Row],[unsub]]/Table1[[#This Row],[unique-sends]]*100)*2)</f>
        <v>36.445708739530104</v>
      </c>
      <c r="P219" s="37" t="str">
        <f>IF(Table1[[#This Row],[Engagement Score]]&lt;30,"🔴",IF(Table1[[#This Row],[Engagement Score]]&lt;40,"🟡","🟢"))</f>
        <v>🟡</v>
      </c>
      <c r="Q219" s="14">
        <v>75.5</v>
      </c>
      <c r="R219" s="16">
        <v>16.100000000000001</v>
      </c>
      <c r="S219" s="16">
        <v>8.4</v>
      </c>
      <c r="T219" s="104" t="s">
        <v>218</v>
      </c>
    </row>
    <row r="220" spans="1:20" ht="32.1" customHeight="1">
      <c r="A220" s="82">
        <v>73</v>
      </c>
      <c r="B220" s="146" t="s">
        <v>228</v>
      </c>
      <c r="C220" s="89" t="s">
        <v>217</v>
      </c>
      <c r="D220" s="90" t="s">
        <v>21</v>
      </c>
      <c r="E220" s="90" t="s">
        <v>68</v>
      </c>
      <c r="F220" s="90" t="s">
        <v>26</v>
      </c>
      <c r="G220" s="89">
        <v>30122</v>
      </c>
      <c r="H220" s="89">
        <v>13708</v>
      </c>
      <c r="I220" s="89">
        <v>4682</v>
      </c>
      <c r="J220" s="89">
        <v>0</v>
      </c>
      <c r="K220" s="36">
        <f>(Table1[[#This Row],[unsub]]/Table1[[#This Row],[unique-sends]])*100</f>
        <v>0</v>
      </c>
      <c r="L220" s="44">
        <f>Table1[[#This Row],[unique-opens]] / Table1[[#This Row],[unique-sends]] * 100</f>
        <v>45.508266383374277</v>
      </c>
      <c r="M220" s="45">
        <f>Table1[[#This Row],[unique-clicks]] / Table1[[#This Row],[unique-sends]] * 100</f>
        <v>15.543456609786865</v>
      </c>
      <c r="N220" s="37">
        <f>Table1[[#This Row],[unique-clicks]] / Table1[[#This Row],[unique-opens]] * 100</f>
        <v>34.155237817332946</v>
      </c>
      <c r="O220" s="37">
        <f>(MIN(Table1[[#This Row],[unique-opens]]/Table1[[#This Row],[unique-sends]],1)*50
 + MIN(Table1[[#This Row],[unique-clicks]]/Table1[[#This Row],[unique-sends]],1)*50)
 * (1 + MIN(Table1[[#This Row],[unique-clicks]]/Table1[[#This Row],[unique-sends]],1))
 - ((Table1[[#This Row],[unsub]]/Table1[[#This Row],[unique-sends]]*100)*2)</f>
        <v>35.27063553306521</v>
      </c>
      <c r="P220" s="37" t="str">
        <f>IF(Table1[[#This Row],[Engagement Score]]&lt;30,"🔴",IF(Table1[[#This Row],[Engagement Score]]&lt;40,"🟡","🟢"))</f>
        <v>🟡</v>
      </c>
      <c r="Q220" s="14">
        <v>75.5</v>
      </c>
      <c r="R220" s="16">
        <v>16.100000000000001</v>
      </c>
      <c r="S220" s="16">
        <v>8.4</v>
      </c>
      <c r="T220" s="104" t="s">
        <v>218</v>
      </c>
    </row>
    <row r="221" spans="1:20" ht="32.1" customHeight="1">
      <c r="A221" s="81">
        <v>76</v>
      </c>
      <c r="B221" s="146" t="s">
        <v>229</v>
      </c>
      <c r="C221" s="89" t="s">
        <v>217</v>
      </c>
      <c r="D221" s="90" t="s">
        <v>28</v>
      </c>
      <c r="E221" s="90" t="s">
        <v>68</v>
      </c>
      <c r="F221" s="90" t="s">
        <v>26</v>
      </c>
      <c r="G221" s="89">
        <v>20040</v>
      </c>
      <c r="H221" s="89">
        <v>15201</v>
      </c>
      <c r="I221" s="89">
        <v>6170</v>
      </c>
      <c r="J221" s="89">
        <v>17</v>
      </c>
      <c r="K221" s="36">
        <f>(Table1[[#This Row],[unsub]]/Table1[[#This Row],[unique-sends]])*100</f>
        <v>8.4830339321357279E-2</v>
      </c>
      <c r="L221" s="44">
        <f>Table1[[#This Row],[unique-opens]] / Table1[[#This Row],[unique-sends]] * 100</f>
        <v>75.853293413173645</v>
      </c>
      <c r="M221" s="45">
        <f>Table1[[#This Row],[unique-clicks]] / Table1[[#This Row],[unique-sends]] * 100</f>
        <v>30.788423153692612</v>
      </c>
      <c r="N221" s="37">
        <f>Table1[[#This Row],[unique-clicks]] / Table1[[#This Row],[unique-opens]] * 100</f>
        <v>40.589434905598317</v>
      </c>
      <c r="O221" s="37">
        <f>(MIN(Table1[[#This Row],[unique-opens]]/Table1[[#This Row],[unique-sends]],1)*50
 + MIN(Table1[[#This Row],[unique-clicks]]/Table1[[#This Row],[unique-sends]],1)*50)
 * (1 + MIN(Table1[[#This Row],[unique-clicks]]/Table1[[#This Row],[unique-sends]],1))
 - ((Table1[[#This Row],[unsub]]/Table1[[#This Row],[unique-sends]]*100)*2)</f>
        <v>69.567849082274563</v>
      </c>
      <c r="P221" s="37" t="str">
        <f>IF(Table1[[#This Row],[Engagement Score]]&lt;30,"🔴",IF(Table1[[#This Row],[Engagement Score]]&lt;40,"🟡","🟢"))</f>
        <v>🟢</v>
      </c>
      <c r="Q221" s="10">
        <v>72.099999999999994</v>
      </c>
      <c r="R221" s="11">
        <v>15.6</v>
      </c>
      <c r="S221" s="11">
        <v>12.3</v>
      </c>
      <c r="T221" s="109" t="s">
        <v>230</v>
      </c>
    </row>
    <row r="222" spans="1:20" ht="32.1" customHeight="1">
      <c r="A222" s="81">
        <v>76</v>
      </c>
      <c r="B222" s="146" t="s">
        <v>231</v>
      </c>
      <c r="C222" s="89" t="s">
        <v>217</v>
      </c>
      <c r="D222" s="90" t="s">
        <v>28</v>
      </c>
      <c r="E222" s="90" t="s">
        <v>68</v>
      </c>
      <c r="F222" s="90" t="s">
        <v>26</v>
      </c>
      <c r="G222" s="89">
        <v>15952</v>
      </c>
      <c r="H222" s="89">
        <v>11725</v>
      </c>
      <c r="I222" s="89">
        <v>4165</v>
      </c>
      <c r="J222" s="89">
        <v>23</v>
      </c>
      <c r="K222" s="36">
        <f>(Table1[[#This Row],[unsub]]/Table1[[#This Row],[unique-sends]])*100</f>
        <v>0.14418254764292879</v>
      </c>
      <c r="L222" s="39">
        <f>Table1[[#This Row],[unique-opens]] / Table1[[#This Row],[unique-sends]] * 100</f>
        <v>73.501755265797399</v>
      </c>
      <c r="M222" s="40">
        <f>Table1[[#This Row],[unique-clicks]] / Table1[[#This Row],[unique-sends]] * 100</f>
        <v>26.109578736208626</v>
      </c>
      <c r="N222" s="37">
        <f>Table1[[#This Row],[unique-clicks]] / Table1[[#This Row],[unique-opens]] * 100</f>
        <v>35.522388059701491</v>
      </c>
      <c r="O222" s="37">
        <f>(MIN(Table1[[#This Row],[unique-opens]]/Table1[[#This Row],[unique-sends]],1)*50
 + MIN(Table1[[#This Row],[unique-clicks]]/Table1[[#This Row],[unique-sends]],1)*50)
 * (1 + MIN(Table1[[#This Row],[unique-clicks]]/Table1[[#This Row],[unique-sends]],1))
 - ((Table1[[#This Row],[unsub]]/Table1[[#This Row],[unique-sends]]*100)*2)</f>
        <v>62.521351746437922</v>
      </c>
      <c r="P222" s="37" t="str">
        <f>IF(Table1[[#This Row],[Engagement Score]]&lt;30,"🔴",IF(Table1[[#This Row],[Engagement Score]]&lt;40,"🟡","🟢"))</f>
        <v>🟢</v>
      </c>
      <c r="Q222" s="10">
        <v>72.099999999999994</v>
      </c>
      <c r="R222" s="11">
        <v>15.6</v>
      </c>
      <c r="S222" s="11">
        <v>12.3</v>
      </c>
      <c r="T222" s="109" t="s">
        <v>230</v>
      </c>
    </row>
    <row r="223" spans="1:20" ht="32.1" customHeight="1">
      <c r="A223" s="81">
        <v>74</v>
      </c>
      <c r="B223" s="140" t="s">
        <v>232</v>
      </c>
      <c r="C223" s="69" t="s">
        <v>233</v>
      </c>
      <c r="D223" s="54" t="s">
        <v>21</v>
      </c>
      <c r="E223" s="54" t="s">
        <v>68</v>
      </c>
      <c r="F223" s="20" t="s">
        <v>26</v>
      </c>
      <c r="G223" s="9">
        <v>7</v>
      </c>
      <c r="H223" s="25">
        <v>7</v>
      </c>
      <c r="I223" s="29">
        <v>5</v>
      </c>
      <c r="J223" s="60">
        <v>0</v>
      </c>
      <c r="K223" s="36">
        <f>(Table1[[#This Row],[unsub]]/Table1[[#This Row],[unique-sends]])*100</f>
        <v>0</v>
      </c>
      <c r="L223" s="6">
        <f>Table1[[#This Row],[unique-opens]] / Table1[[#This Row],[unique-sends]] * 100</f>
        <v>100</v>
      </c>
      <c r="M223" s="31">
        <f>Table1[[#This Row],[unique-clicks]] / Table1[[#This Row],[unique-sends]] * 100</f>
        <v>71.428571428571431</v>
      </c>
      <c r="N223" s="37">
        <f>Table1[[#This Row],[unique-clicks]] / Table1[[#This Row],[unique-opens]] * 100</f>
        <v>71.428571428571431</v>
      </c>
      <c r="O223" s="37">
        <f>(MIN(Table1[[#This Row],[unique-opens]]/Table1[[#This Row],[unique-sends]],1)*50
 + MIN(Table1[[#This Row],[unique-clicks]]/Table1[[#This Row],[unique-sends]],1)*50)
 * (1 + MIN(Table1[[#This Row],[unique-clicks]]/Table1[[#This Row],[unique-sends]],1))
 - ((Table1[[#This Row],[unsub]]/Table1[[#This Row],[unique-sends]]*100)*2)</f>
        <v>146.9387755102041</v>
      </c>
      <c r="P223" s="37" t="str">
        <f>IF(Table1[[#This Row],[Engagement Score]]&lt;30,"🔴",IF(Table1[[#This Row],[Engagement Score]]&lt;40,"🟡","🟢"))</f>
        <v>🟢</v>
      </c>
      <c r="Q223" s="10">
        <v>72.099999999999994</v>
      </c>
      <c r="R223" s="11">
        <v>15.6</v>
      </c>
      <c r="S223" s="11">
        <v>12.3</v>
      </c>
      <c r="T223" s="109" t="s">
        <v>230</v>
      </c>
    </row>
    <row r="224" spans="1:20" ht="32.1" customHeight="1">
      <c r="A224" s="82">
        <v>76</v>
      </c>
      <c r="B224" s="143" t="s">
        <v>234</v>
      </c>
      <c r="C224" s="70" t="s">
        <v>233</v>
      </c>
      <c r="D224" s="53" t="s">
        <v>28</v>
      </c>
      <c r="E224" s="53" t="s">
        <v>68</v>
      </c>
      <c r="F224" s="15" t="s">
        <v>26</v>
      </c>
      <c r="G224" s="13">
        <v>5</v>
      </c>
      <c r="H224" s="24">
        <v>5</v>
      </c>
      <c r="I224" s="28">
        <v>2</v>
      </c>
      <c r="J224" s="60">
        <v>0</v>
      </c>
      <c r="K224" s="35">
        <f>(Table1[[#This Row],[unsub]]/Table1[[#This Row],[unique-sends]])*100</f>
        <v>0</v>
      </c>
      <c r="L224" s="44">
        <f>Table1[[#This Row],[unique-opens]] / Table1[[#This Row],[unique-sends]] * 100</f>
        <v>100</v>
      </c>
      <c r="M224" s="45">
        <f>Table1[[#This Row],[unique-clicks]] / Table1[[#This Row],[unique-sends]] * 100</f>
        <v>40</v>
      </c>
      <c r="N224" s="37">
        <f>Table1[[#This Row],[unique-clicks]] / Table1[[#This Row],[unique-opens]] * 100</f>
        <v>40</v>
      </c>
      <c r="O224" s="37">
        <f>(MIN(Table1[[#This Row],[unique-opens]]/Table1[[#This Row],[unique-sends]],1)*50
 + MIN(Table1[[#This Row],[unique-clicks]]/Table1[[#This Row],[unique-sends]],1)*50)
 * (1 + MIN(Table1[[#This Row],[unique-clicks]]/Table1[[#This Row],[unique-sends]],1))
 - ((Table1[[#This Row],[unsub]]/Table1[[#This Row],[unique-sends]]*100)*2)</f>
        <v>98</v>
      </c>
      <c r="P224" s="37" t="str">
        <f>IF(Table1[[#This Row],[Engagement Score]]&lt;30,"🔴",IF(Table1[[#This Row],[Engagement Score]]&lt;40,"🟡","🟢"))</f>
        <v>🟢</v>
      </c>
      <c r="Q224" s="10"/>
      <c r="R224" s="11">
        <v>15.6</v>
      </c>
      <c r="S224" s="16"/>
      <c r="T224" s="130"/>
    </row>
    <row r="225" spans="1:20" ht="32.1" customHeight="1">
      <c r="A225" s="82">
        <v>73</v>
      </c>
      <c r="B225" s="143" t="s">
        <v>235</v>
      </c>
      <c r="C225" s="70" t="s">
        <v>236</v>
      </c>
      <c r="D225" s="53" t="s">
        <v>21</v>
      </c>
      <c r="E225" s="53" t="s">
        <v>68</v>
      </c>
      <c r="F225" s="15" t="s">
        <v>26</v>
      </c>
      <c r="G225" s="13">
        <v>14</v>
      </c>
      <c r="H225" s="24">
        <v>10</v>
      </c>
      <c r="I225" s="28">
        <v>3</v>
      </c>
      <c r="J225" s="60">
        <v>0</v>
      </c>
      <c r="K225" s="35">
        <f>(Table1[[#This Row],[unsub]]/Table1[[#This Row],[unique-sends]])*100</f>
        <v>0</v>
      </c>
      <c r="L225" s="21">
        <f>Table1[[#This Row],[unique-opens]] / Table1[[#This Row],[unique-sends]] * 100</f>
        <v>71.428571428571431</v>
      </c>
      <c r="M225" s="37">
        <f>Table1[[#This Row],[unique-clicks]] / Table1[[#This Row],[unique-sends]] * 100</f>
        <v>21.428571428571427</v>
      </c>
      <c r="N225" s="37">
        <f>Table1[[#This Row],[unique-clicks]] / Table1[[#This Row],[unique-opens]] * 100</f>
        <v>30</v>
      </c>
      <c r="O225" s="37">
        <f>(MIN(Table1[[#This Row],[unique-opens]]/Table1[[#This Row],[unique-sends]],1)*50
 + MIN(Table1[[#This Row],[unique-clicks]]/Table1[[#This Row],[unique-sends]],1)*50)
 * (1 + MIN(Table1[[#This Row],[unique-clicks]]/Table1[[#This Row],[unique-sends]],1))
 - ((Table1[[#This Row],[unsub]]/Table1[[#This Row],[unique-sends]]*100)*2)</f>
        <v>56.377551020408163</v>
      </c>
      <c r="P225" s="37" t="str">
        <f>IF(Table1[[#This Row],[Engagement Score]]&lt;30,"🔴",IF(Table1[[#This Row],[Engagement Score]]&lt;40,"🟡","🟢"))</f>
        <v>🟢</v>
      </c>
      <c r="Q225" s="10">
        <v>33.299999999999997</v>
      </c>
      <c r="R225" s="11">
        <v>66.7</v>
      </c>
      <c r="S225" s="11">
        <v>0</v>
      </c>
      <c r="T225" s="109" t="s">
        <v>237</v>
      </c>
    </row>
    <row r="226" spans="1:20" ht="32.1" customHeight="1">
      <c r="A226" s="81">
        <v>30</v>
      </c>
      <c r="B226" s="140" t="s">
        <v>238</v>
      </c>
      <c r="C226" s="69">
        <v>45962</v>
      </c>
      <c r="D226" s="20" t="s">
        <v>28</v>
      </c>
      <c r="E226" s="20" t="s">
        <v>22</v>
      </c>
      <c r="F226" s="20" t="s">
        <v>23</v>
      </c>
      <c r="G226" s="9">
        <v>143</v>
      </c>
      <c r="H226" s="25">
        <v>75</v>
      </c>
      <c r="I226" s="29">
        <v>3</v>
      </c>
      <c r="J226" s="60">
        <v>0</v>
      </c>
      <c r="K226" s="63">
        <v>0</v>
      </c>
      <c r="L226" s="21">
        <v>53</v>
      </c>
      <c r="M226" s="37">
        <v>1.65</v>
      </c>
      <c r="N226" s="37">
        <f>Table1[[#This Row],[unique-clicks]] / Table1[[#This Row],[unique-opens]] * 100</f>
        <v>4</v>
      </c>
      <c r="O226" s="37">
        <v>27.65</v>
      </c>
      <c r="P226" s="37" t="s">
        <v>183</v>
      </c>
      <c r="Q226" s="60">
        <v>0</v>
      </c>
      <c r="R226" s="60">
        <v>0</v>
      </c>
      <c r="S226" s="60">
        <v>0</v>
      </c>
      <c r="T226" s="87"/>
    </row>
    <row r="227" spans="1:20" ht="32.1" customHeight="1">
      <c r="A227" s="81">
        <v>30</v>
      </c>
      <c r="B227" s="140" t="s">
        <v>239</v>
      </c>
      <c r="C227" s="69">
        <v>45962</v>
      </c>
      <c r="D227" s="20" t="s">
        <v>21</v>
      </c>
      <c r="E227" s="20" t="s">
        <v>22</v>
      </c>
      <c r="F227" s="20" t="s">
        <v>23</v>
      </c>
      <c r="G227" s="9">
        <v>4370</v>
      </c>
      <c r="H227" s="25">
        <v>2890</v>
      </c>
      <c r="I227" s="29">
        <v>74</v>
      </c>
      <c r="J227" s="60">
        <v>12</v>
      </c>
      <c r="K227" s="63">
        <v>0.38</v>
      </c>
      <c r="L227" s="21">
        <v>72</v>
      </c>
      <c r="M227" s="37">
        <v>2.76</v>
      </c>
      <c r="N227" s="37">
        <f>Table1[[#This Row],[unique-clicks]] / Table1[[#This Row],[unique-opens]] * 100</f>
        <v>2.5605536332179932</v>
      </c>
      <c r="O227" s="37">
        <v>37.89</v>
      </c>
      <c r="P227" s="37" t="s">
        <v>184</v>
      </c>
      <c r="Q227" s="60">
        <v>0</v>
      </c>
      <c r="R227" s="60">
        <v>0</v>
      </c>
      <c r="S227" s="60">
        <v>0</v>
      </c>
      <c r="T227" s="87" t="s">
        <v>185</v>
      </c>
    </row>
    <row r="228" spans="1:20" ht="32.1" customHeight="1">
      <c r="A228" s="81">
        <v>79</v>
      </c>
      <c r="B228" s="140" t="s">
        <v>240</v>
      </c>
      <c r="C228" s="69">
        <v>45962</v>
      </c>
      <c r="D228" s="20" t="s">
        <v>21</v>
      </c>
      <c r="E228" s="20" t="s">
        <v>22</v>
      </c>
      <c r="F228" s="20" t="s">
        <v>23</v>
      </c>
      <c r="G228" s="9">
        <v>2755</v>
      </c>
      <c r="H228" s="25">
        <v>2151</v>
      </c>
      <c r="I228" s="29">
        <v>300</v>
      </c>
      <c r="J228" s="60">
        <v>9</v>
      </c>
      <c r="K228" s="35">
        <f>(Table1[[#This Row],[unsub]]/Table1[[#This Row],[unique-sends]])*100</f>
        <v>0.32667876588021777</v>
      </c>
      <c r="L228" s="21">
        <f>Table1[[#This Row],[unique-opens]] / Table1[[#This Row],[unique-sends]] * 100</f>
        <v>78.076225045372055</v>
      </c>
      <c r="M228" s="37">
        <f>Table1[[#This Row],[unique-clicks]] / Table1[[#This Row],[unique-sends]] * 100</f>
        <v>10.88929219600726</v>
      </c>
      <c r="N228" s="37">
        <f>Table1[[#This Row],[unique-clicks]] / Table1[[#This Row],[unique-opens]] * 100</f>
        <v>13.947001394700139</v>
      </c>
      <c r="O228" s="37">
        <f>(MIN(Table1[[#This Row],[unique-opens]]/Table1[[#This Row],[unique-sends]],1)*50
 + MIN(Table1[[#This Row],[unique-clicks]]/Table1[[#This Row],[unique-sends]],1)*50)
 * (1 + MIN(Table1[[#This Row],[unique-clicks]]/Table1[[#This Row],[unique-sends]],1))
 - ((Table1[[#This Row],[unsub]]/Table1[[#This Row],[unique-sends]]*100)*2)</f>
        <v>48.673258651980724</v>
      </c>
      <c r="P228" s="37" t="str">
        <f>IF(Table1[[#This Row],[Engagement Score]]&lt;30,"🔴",IF(Table1[[#This Row],[Engagement Score]]&lt;40,"🟡","🟢"))</f>
        <v>🟢</v>
      </c>
      <c r="Q228" s="60"/>
      <c r="R228" s="60"/>
      <c r="S228" s="60"/>
      <c r="T228" s="87"/>
    </row>
    <row r="229" spans="1:20" ht="32.1" customHeight="1">
      <c r="A229" s="81">
        <v>45</v>
      </c>
      <c r="B229" s="140" t="s">
        <v>241</v>
      </c>
      <c r="C229" s="69">
        <v>45962</v>
      </c>
      <c r="D229" s="20" t="s">
        <v>28</v>
      </c>
      <c r="E229" s="20" t="s">
        <v>22</v>
      </c>
      <c r="F229" s="20" t="s">
        <v>23</v>
      </c>
      <c r="G229" s="9">
        <v>94</v>
      </c>
      <c r="H229" s="25">
        <v>74</v>
      </c>
      <c r="I229" s="29">
        <v>5</v>
      </c>
      <c r="J229" s="60">
        <v>0</v>
      </c>
      <c r="K229" s="35">
        <f>(Table1[[#This Row],[unsub]]/Table1[[#This Row],[unique-sends]])*100</f>
        <v>0</v>
      </c>
      <c r="L229" s="21">
        <f>Table1[[#This Row],[unique-opens]] / Table1[[#This Row],[unique-sends]] * 100</f>
        <v>78.723404255319153</v>
      </c>
      <c r="M229" s="37">
        <f>Table1[[#This Row],[unique-clicks]] / Table1[[#This Row],[unique-sends]] * 100</f>
        <v>5.3191489361702127</v>
      </c>
      <c r="N229" s="37">
        <f>Table1[[#This Row],[unique-clicks]] / Table1[[#This Row],[unique-opens]] * 100</f>
        <v>6.756756756756757</v>
      </c>
      <c r="O229" s="37">
        <f>(MIN(Table1[[#This Row],[unique-opens]]/Table1[[#This Row],[unique-sends]],1)*50
 + MIN(Table1[[#This Row],[unique-clicks]]/Table1[[#This Row],[unique-sends]],1)*50)
 * (1 + MIN(Table1[[#This Row],[unique-clicks]]/Table1[[#This Row],[unique-sends]],1))
 - ((Table1[[#This Row],[unsub]]/Table1[[#This Row],[unique-sends]]*100)*2)</f>
        <v>44.256450882752375</v>
      </c>
      <c r="P229" s="37" t="str">
        <f>IF(Table1[[#This Row],[Engagement Score]]&lt;30,"🔴",IF(Table1[[#This Row],[Engagement Score]]&lt;40,"🟡","🟢"))</f>
        <v>🟢</v>
      </c>
      <c r="Q229" s="60" t="s">
        <v>185</v>
      </c>
      <c r="R229" s="60" t="s">
        <v>185</v>
      </c>
      <c r="S229" s="60" t="s">
        <v>185</v>
      </c>
      <c r="T229" s="87" t="s">
        <v>185</v>
      </c>
    </row>
    <row r="230" spans="1:20" ht="32.1" customHeight="1">
      <c r="A230" s="81">
        <v>46</v>
      </c>
      <c r="B230" s="140" t="s">
        <v>242</v>
      </c>
      <c r="C230" s="69">
        <v>45962</v>
      </c>
      <c r="D230" s="20" t="s">
        <v>21</v>
      </c>
      <c r="E230" s="20" t="s">
        <v>22</v>
      </c>
      <c r="F230" s="20" t="s">
        <v>23</v>
      </c>
      <c r="G230" s="9">
        <v>2031</v>
      </c>
      <c r="H230" s="25">
        <v>1320</v>
      </c>
      <c r="I230" s="29">
        <v>199</v>
      </c>
      <c r="J230" s="60">
        <v>4</v>
      </c>
      <c r="K230" s="35">
        <f>(Table1[[#This Row],[unsub]]/Table1[[#This Row],[unique-sends]])*100</f>
        <v>0.19694731659281145</v>
      </c>
      <c r="L230" s="21">
        <f>Table1[[#This Row],[unique-opens]] / Table1[[#This Row],[unique-sends]] * 100</f>
        <v>64.992614475627775</v>
      </c>
      <c r="M230" s="37">
        <f>Table1[[#This Row],[unique-clicks]] / Table1[[#This Row],[unique-sends]] * 100</f>
        <v>9.7981290004923682</v>
      </c>
      <c r="N230" s="37">
        <f>Table1[[#This Row],[unique-clicks]] / Table1[[#This Row],[unique-opens]] * 100</f>
        <v>15.075757575757576</v>
      </c>
      <c r="O230" s="37">
        <f>(MIN(Table1[[#This Row],[unique-opens]]/Table1[[#This Row],[unique-sends]],1)*50
 + MIN(Table1[[#This Row],[unique-clicks]]/Table1[[#This Row],[unique-sends]],1)*50)
 * (1 + MIN(Table1[[#This Row],[unique-clicks]]/Table1[[#This Row],[unique-sends]],1))
 - ((Table1[[#This Row],[unsub]]/Table1[[#This Row],[unique-sends]]*100)*2)</f>
        <v>40.665523867983239</v>
      </c>
      <c r="P230" s="37" t="str">
        <f>IF(Table1[[#This Row],[Engagement Score]]&lt;30,"🔴",IF(Table1[[#This Row],[Engagement Score]]&lt;40,"🟡","🟢"))</f>
        <v>🟢</v>
      </c>
      <c r="Q230" s="60"/>
      <c r="R230" s="60"/>
      <c r="S230" s="60"/>
      <c r="T230" s="87"/>
    </row>
    <row r="231" spans="1:20" ht="32.1" customHeight="1">
      <c r="A231" s="81">
        <v>45</v>
      </c>
      <c r="B231" s="140" t="s">
        <v>242</v>
      </c>
      <c r="C231" s="69">
        <v>45962</v>
      </c>
      <c r="D231" s="20" t="s">
        <v>28</v>
      </c>
      <c r="E231" s="20" t="s">
        <v>22</v>
      </c>
      <c r="F231" s="20" t="s">
        <v>23</v>
      </c>
      <c r="G231" s="9">
        <v>76</v>
      </c>
      <c r="H231" s="25">
        <v>58</v>
      </c>
      <c r="I231" s="29">
        <v>11</v>
      </c>
      <c r="J231" s="60">
        <v>0</v>
      </c>
      <c r="K231" s="35">
        <f>(Table1[[#This Row],[unsub]]/Table1[[#This Row],[unique-sends]])*100</f>
        <v>0</v>
      </c>
      <c r="L231" s="21">
        <f>Table1[[#This Row],[unique-opens]] / Table1[[#This Row],[unique-sends]] * 100</f>
        <v>76.31578947368422</v>
      </c>
      <c r="M231" s="37">
        <f>Table1[[#This Row],[unique-clicks]] / Table1[[#This Row],[unique-sends]] * 100</f>
        <v>14.473684210526317</v>
      </c>
      <c r="N231" s="37">
        <f>Table1[[#This Row],[unique-clicks]] / Table1[[#This Row],[unique-opens]] * 100</f>
        <v>18.96551724137931</v>
      </c>
      <c r="O231" s="37">
        <f>(MIN(Table1[[#This Row],[unique-opens]]/Table1[[#This Row],[unique-sends]],1)*50
 + MIN(Table1[[#This Row],[unique-clicks]]/Table1[[#This Row],[unique-sends]],1)*50)
 * (1 + MIN(Table1[[#This Row],[unique-clicks]]/Table1[[#This Row],[unique-sends]],1))
 - ((Table1[[#This Row],[unsub]]/Table1[[#This Row],[unique-sends]]*100)*2)</f>
        <v>51.965027700831037</v>
      </c>
      <c r="P231" s="37" t="str">
        <f>IF(Table1[[#This Row],[Engagement Score]]&lt;30,"🔴",IF(Table1[[#This Row],[Engagement Score]]&lt;40,"🟡","🟢"))</f>
        <v>🟢</v>
      </c>
      <c r="Q231" s="60" t="s">
        <v>185</v>
      </c>
      <c r="R231" s="60" t="s">
        <v>185</v>
      </c>
      <c r="S231" s="60" t="s">
        <v>185</v>
      </c>
      <c r="T231" s="87" t="s">
        <v>185</v>
      </c>
    </row>
    <row r="232" spans="1:20" ht="32.1" customHeight="1">
      <c r="A232" s="81">
        <v>43</v>
      </c>
      <c r="B232" s="140" t="s">
        <v>38</v>
      </c>
      <c r="C232" s="69">
        <v>45962</v>
      </c>
      <c r="D232" s="20" t="s">
        <v>21</v>
      </c>
      <c r="E232" s="20" t="s">
        <v>22</v>
      </c>
      <c r="F232" s="20" t="s">
        <v>23</v>
      </c>
      <c r="G232" s="9">
        <v>80</v>
      </c>
      <c r="H232" s="25">
        <v>67</v>
      </c>
      <c r="I232" s="29">
        <v>4</v>
      </c>
      <c r="J232" s="60">
        <v>0</v>
      </c>
      <c r="K232" s="35">
        <f>(Table1[[#This Row],[unsub]]/Table1[[#This Row],[unique-sends]])*100</f>
        <v>0</v>
      </c>
      <c r="L232" s="21">
        <f>Table1[[#This Row],[unique-opens]] / Table1[[#This Row],[unique-sends]] * 100</f>
        <v>83.75</v>
      </c>
      <c r="M232" s="37">
        <f>Table1[[#This Row],[unique-clicks]] / Table1[[#This Row],[unique-sends]] * 100</f>
        <v>5</v>
      </c>
      <c r="N232" s="37">
        <f>Table1[[#This Row],[unique-clicks]] / Table1[[#This Row],[unique-opens]] * 100</f>
        <v>5.9701492537313428</v>
      </c>
      <c r="O232" s="37">
        <f>(MIN(Table1[[#This Row],[unique-opens]]/Table1[[#This Row],[unique-sends]],1)*50
 + MIN(Table1[[#This Row],[unique-clicks]]/Table1[[#This Row],[unique-sends]],1)*50)
 * (1 + MIN(Table1[[#This Row],[unique-clicks]]/Table1[[#This Row],[unique-sends]],1))
 - ((Table1[[#This Row],[unsub]]/Table1[[#This Row],[unique-sends]]*100)*2)</f>
        <v>46.59375</v>
      </c>
      <c r="P232" s="37" t="str">
        <f>IF(Table1[[#This Row],[Engagement Score]]&lt;30,"🔴",IF(Table1[[#This Row],[Engagement Score]]&lt;40,"🟡","🟢"))</f>
        <v>🟢</v>
      </c>
      <c r="Q232" s="60"/>
      <c r="R232" s="60"/>
      <c r="S232" s="60"/>
      <c r="T232" s="87"/>
    </row>
    <row r="233" spans="1:20" ht="32.1" customHeight="1">
      <c r="A233" s="81">
        <v>44</v>
      </c>
      <c r="B233" s="140" t="s">
        <v>37</v>
      </c>
      <c r="C233" s="69">
        <v>45962</v>
      </c>
      <c r="D233" s="20" t="s">
        <v>21</v>
      </c>
      <c r="E233" s="20" t="s">
        <v>22</v>
      </c>
      <c r="F233" s="20" t="s">
        <v>23</v>
      </c>
      <c r="G233" s="9">
        <v>768</v>
      </c>
      <c r="H233" s="25">
        <v>488</v>
      </c>
      <c r="I233" s="29">
        <v>33</v>
      </c>
      <c r="J233" s="60">
        <v>0</v>
      </c>
      <c r="K233" s="35">
        <f>(Table1[[#This Row],[unsub]]/Table1[[#This Row],[unique-sends]])*100</f>
        <v>0</v>
      </c>
      <c r="L233" s="21">
        <f>Table1[[#This Row],[unique-opens]] / Table1[[#This Row],[unique-sends]] * 100</f>
        <v>63.541666666666664</v>
      </c>
      <c r="M233" s="37">
        <f>Table1[[#This Row],[unique-clicks]] / Table1[[#This Row],[unique-sends]] * 100</f>
        <v>4.296875</v>
      </c>
      <c r="N233" s="37">
        <f>Table1[[#This Row],[unique-clicks]] / Table1[[#This Row],[unique-opens]] * 100</f>
        <v>6.7622950819672134</v>
      </c>
      <c r="O233" s="37">
        <f>(MIN(Table1[[#This Row],[unique-opens]]/Table1[[#This Row],[unique-sends]],1)*50
 + MIN(Table1[[#This Row],[unique-clicks]]/Table1[[#This Row],[unique-sends]],1)*50)
 * (1 + MIN(Table1[[#This Row],[unique-clicks]]/Table1[[#This Row],[unique-sends]],1))
 - ((Table1[[#This Row],[unsub]]/Table1[[#This Row],[unique-sends]]*100)*2)</f>
        <v>35.376739501953118</v>
      </c>
      <c r="P233" s="37" t="str">
        <f>IF(Table1[[#This Row],[Engagement Score]]&lt;30,"🔴",IF(Table1[[#This Row],[Engagement Score]]&lt;40,"🟡","🟢"))</f>
        <v>🟡</v>
      </c>
      <c r="Q233" s="60" t="s">
        <v>185</v>
      </c>
      <c r="R233" s="60" t="s">
        <v>185</v>
      </c>
      <c r="S233" s="60" t="s">
        <v>185</v>
      </c>
      <c r="T233" s="87" t="s">
        <v>185</v>
      </c>
    </row>
    <row r="234" spans="1:20" ht="32.1" customHeight="1">
      <c r="A234" s="81">
        <v>38</v>
      </c>
      <c r="B234" s="140" t="s">
        <v>33</v>
      </c>
      <c r="C234" s="69">
        <v>45962</v>
      </c>
      <c r="D234" s="20" t="s">
        <v>21</v>
      </c>
      <c r="E234" s="20" t="s">
        <v>22</v>
      </c>
      <c r="F234" s="20" t="s">
        <v>23</v>
      </c>
      <c r="G234" s="9">
        <v>149</v>
      </c>
      <c r="H234" s="25">
        <v>122</v>
      </c>
      <c r="I234" s="29">
        <v>34</v>
      </c>
      <c r="J234" s="60">
        <v>0</v>
      </c>
      <c r="K234" s="35">
        <f>(Table1[[#This Row],[unsub]]/Table1[[#This Row],[unique-sends]])*100</f>
        <v>0</v>
      </c>
      <c r="L234" s="21">
        <f>Table1[[#This Row],[unique-opens]] / Table1[[#This Row],[unique-sends]] * 100</f>
        <v>81.87919463087249</v>
      </c>
      <c r="M234" s="37">
        <f>Table1[[#This Row],[unique-clicks]] / Table1[[#This Row],[unique-sends]] * 100</f>
        <v>22.818791946308725</v>
      </c>
      <c r="N234" s="37">
        <f>Table1[[#This Row],[unique-clicks]] / Table1[[#This Row],[unique-opens]] * 100</f>
        <v>27.868852459016392</v>
      </c>
      <c r="O234" s="37">
        <f>(MIN(Table1[[#This Row],[unique-opens]]/Table1[[#This Row],[unique-sends]],1)*50
 + MIN(Table1[[#This Row],[unique-clicks]]/Table1[[#This Row],[unique-sends]],1)*50)
 * (1 + MIN(Table1[[#This Row],[unique-clicks]]/Table1[[#This Row],[unique-sends]],1))
 - ((Table1[[#This Row],[unsub]]/Table1[[#This Row],[unique-sends]]*100)*2)</f>
        <v>64.294401153101205</v>
      </c>
      <c r="P234" s="37" t="str">
        <f>IF(Table1[[#This Row],[Engagement Score]]&lt;30,"🔴",IF(Table1[[#This Row],[Engagement Score]]&lt;40,"🟡","🟢"))</f>
        <v>🟢</v>
      </c>
      <c r="Q234" s="60"/>
      <c r="R234" s="60"/>
      <c r="S234" s="60"/>
      <c r="T234" s="87"/>
    </row>
    <row r="235" spans="1:20" ht="32.1" customHeight="1">
      <c r="A235" s="81">
        <v>39</v>
      </c>
      <c r="B235" s="140" t="s">
        <v>33</v>
      </c>
      <c r="C235" s="69">
        <v>45962</v>
      </c>
      <c r="D235" s="20" t="s">
        <v>28</v>
      </c>
      <c r="E235" s="20" t="s">
        <v>22</v>
      </c>
      <c r="F235" s="20" t="s">
        <v>23</v>
      </c>
      <c r="G235" s="9">
        <v>11</v>
      </c>
      <c r="H235" s="25">
        <v>11</v>
      </c>
      <c r="I235" s="29">
        <v>2</v>
      </c>
      <c r="J235" s="60">
        <v>0</v>
      </c>
      <c r="K235" s="35">
        <f>(Table1[[#This Row],[unsub]]/Table1[[#This Row],[unique-sends]])*100</f>
        <v>0</v>
      </c>
      <c r="L235" s="21">
        <f>Table1[[#This Row],[unique-opens]] / Table1[[#This Row],[unique-sends]] * 100</f>
        <v>100</v>
      </c>
      <c r="M235" s="37">
        <f>Table1[[#This Row],[unique-clicks]] / Table1[[#This Row],[unique-sends]] * 100</f>
        <v>18.181818181818183</v>
      </c>
      <c r="N235" s="37">
        <f>Table1[[#This Row],[unique-clicks]] / Table1[[#This Row],[unique-opens]] * 100</f>
        <v>18.181818181818183</v>
      </c>
      <c r="O235" s="37">
        <f>(MIN(Table1[[#This Row],[unique-opens]]/Table1[[#This Row],[unique-sends]],1)*50
 + MIN(Table1[[#This Row],[unique-clicks]]/Table1[[#This Row],[unique-sends]],1)*50)
 * (1 + MIN(Table1[[#This Row],[unique-clicks]]/Table1[[#This Row],[unique-sends]],1))
 - ((Table1[[#This Row],[unsub]]/Table1[[#This Row],[unique-sends]]*100)*2)</f>
        <v>69.834710743801665</v>
      </c>
      <c r="P235" s="37" t="str">
        <f>IF(Table1[[#This Row],[Engagement Score]]&lt;30,"🔴",IF(Table1[[#This Row],[Engagement Score]]&lt;40,"🟡","🟢"))</f>
        <v>🟢</v>
      </c>
      <c r="Q235" s="60" t="s">
        <v>185</v>
      </c>
      <c r="R235" s="60" t="s">
        <v>185</v>
      </c>
      <c r="S235" s="60" t="s">
        <v>185</v>
      </c>
      <c r="T235" s="87" t="s">
        <v>185</v>
      </c>
    </row>
    <row r="236" spans="1:20" ht="32.1" customHeight="1">
      <c r="A236" s="81">
        <v>35</v>
      </c>
      <c r="B236" s="84" t="s">
        <v>31</v>
      </c>
      <c r="C236" s="69">
        <v>45962</v>
      </c>
      <c r="D236" s="20" t="s">
        <v>21</v>
      </c>
      <c r="E236" s="20" t="s">
        <v>22</v>
      </c>
      <c r="F236" s="20" t="s">
        <v>23</v>
      </c>
      <c r="G236" s="9">
        <v>818</v>
      </c>
      <c r="H236" s="25">
        <v>387</v>
      </c>
      <c r="I236" s="29">
        <v>40</v>
      </c>
      <c r="J236" s="60">
        <v>2</v>
      </c>
      <c r="K236" s="35">
        <f>(Table1[[#This Row],[unsub]]/Table1[[#This Row],[unique-sends]])*100</f>
        <v>0.24449877750611246</v>
      </c>
      <c r="L236" s="21">
        <f>Table1[[#This Row],[unique-opens]] / Table1[[#This Row],[unique-sends]] * 100</f>
        <v>47.310513447432761</v>
      </c>
      <c r="M236" s="37">
        <f>Table1[[#This Row],[unique-clicks]] / Table1[[#This Row],[unique-sends]] * 100</f>
        <v>4.8899755501222497</v>
      </c>
      <c r="N236" s="37">
        <f>Table1[[#This Row],[unique-clicks]] / Table1[[#This Row],[unique-opens]] * 100</f>
        <v>10.335917312661499</v>
      </c>
      <c r="O236" s="37">
        <f>(MIN(Table1[[#This Row],[unique-opens]]/Table1[[#This Row],[unique-sends]],1)*50
 + MIN(Table1[[#This Row],[unique-clicks]]/Table1[[#This Row],[unique-sends]],1)*50)
 * (1 + MIN(Table1[[#This Row],[unique-clicks]]/Table1[[#This Row],[unique-sends]],1))
 - ((Table1[[#This Row],[unsub]]/Table1[[#This Row],[unique-sends]]*100)*2)</f>
        <v>26.887542518277627</v>
      </c>
      <c r="P236" s="37" t="str">
        <f>IF(Table1[[#This Row],[Engagement Score]]&lt;30,"🔴",IF(Table1[[#This Row],[Engagement Score]]&lt;40,"🟡","🟢"))</f>
        <v>🔴</v>
      </c>
      <c r="Q236" s="60"/>
      <c r="R236" s="60"/>
      <c r="S236" s="60"/>
      <c r="T236" s="87"/>
    </row>
    <row r="237" spans="1:20" ht="32.1" customHeight="1">
      <c r="A237" s="81">
        <v>36</v>
      </c>
      <c r="B237" s="84" t="s">
        <v>31</v>
      </c>
      <c r="C237" s="69">
        <v>45962</v>
      </c>
      <c r="D237" s="20" t="s">
        <v>28</v>
      </c>
      <c r="E237" s="20" t="s">
        <v>22</v>
      </c>
      <c r="F237" s="20" t="s">
        <v>23</v>
      </c>
      <c r="G237" s="9">
        <v>29</v>
      </c>
      <c r="H237" s="25">
        <v>15</v>
      </c>
      <c r="I237" s="29">
        <v>2</v>
      </c>
      <c r="J237" s="60">
        <v>0</v>
      </c>
      <c r="K237" s="35">
        <f>(Table1[[#This Row],[unsub]]/Table1[[#This Row],[unique-sends]])*100</f>
        <v>0</v>
      </c>
      <c r="L237" s="21">
        <f>Table1[[#This Row],[unique-opens]] / Table1[[#This Row],[unique-sends]] * 100</f>
        <v>51.724137931034484</v>
      </c>
      <c r="M237" s="37">
        <f>Table1[[#This Row],[unique-clicks]] / Table1[[#This Row],[unique-sends]] * 100</f>
        <v>6.8965517241379306</v>
      </c>
      <c r="N237" s="37">
        <f>Table1[[#This Row],[unique-clicks]] / Table1[[#This Row],[unique-opens]] * 100</f>
        <v>13.333333333333334</v>
      </c>
      <c r="O237" s="37">
        <f>(MIN(Table1[[#This Row],[unique-opens]]/Table1[[#This Row],[unique-sends]],1)*50
 + MIN(Table1[[#This Row],[unique-clicks]]/Table1[[#This Row],[unique-sends]],1)*50)
 * (1 + MIN(Table1[[#This Row],[unique-clicks]]/Table1[[#This Row],[unique-sends]],1))
 - ((Table1[[#This Row],[unsub]]/Table1[[#This Row],[unique-sends]]*100)*2)</f>
        <v>31.331747919143872</v>
      </c>
      <c r="P237" s="37" t="str">
        <f>IF(Table1[[#This Row],[Engagement Score]]&lt;30,"🔴",IF(Table1[[#This Row],[Engagement Score]]&lt;40,"🟡","🟢"))</f>
        <v>🟡</v>
      </c>
      <c r="Q237" s="60" t="s">
        <v>185</v>
      </c>
      <c r="R237" s="60" t="s">
        <v>185</v>
      </c>
      <c r="S237" s="60" t="s">
        <v>185</v>
      </c>
      <c r="T237" s="87" t="s">
        <v>185</v>
      </c>
    </row>
    <row r="238" spans="1:20" ht="32.1" customHeight="1">
      <c r="A238" s="81">
        <v>34</v>
      </c>
      <c r="B238" s="140" t="s">
        <v>30</v>
      </c>
      <c r="C238" s="69">
        <v>45962</v>
      </c>
      <c r="D238" s="20" t="s">
        <v>21</v>
      </c>
      <c r="E238" s="20" t="s">
        <v>22</v>
      </c>
      <c r="F238" s="20" t="s">
        <v>23</v>
      </c>
      <c r="G238" s="9">
        <v>2589</v>
      </c>
      <c r="H238" s="25">
        <v>2431</v>
      </c>
      <c r="I238" s="29">
        <v>63</v>
      </c>
      <c r="J238" s="60">
        <v>16</v>
      </c>
      <c r="K238" s="35">
        <f>(Table1[[#This Row],[unsub]]/Table1[[#This Row],[unique-sends]])*100</f>
        <v>0.61799922750096559</v>
      </c>
      <c r="L238" s="21">
        <f>Table1[[#This Row],[unique-opens]] / Table1[[#This Row],[unique-sends]] * 100</f>
        <v>93.897257628427965</v>
      </c>
      <c r="M238" s="37">
        <f>Table1[[#This Row],[unique-clicks]] / Table1[[#This Row],[unique-sends]] * 100</f>
        <v>2.4333719582850524</v>
      </c>
      <c r="N238" s="37">
        <f>Table1[[#This Row],[unique-clicks]] / Table1[[#This Row],[unique-opens]] * 100</f>
        <v>2.5915261209378855</v>
      </c>
      <c r="O238" s="37">
        <f>(MIN(Table1[[#This Row],[unique-opens]]/Table1[[#This Row],[unique-sends]],1)*50
 + MIN(Table1[[#This Row],[unique-clicks]]/Table1[[#This Row],[unique-sends]],1)*50)
 * (1 + MIN(Table1[[#This Row],[unique-clicks]]/Table1[[#This Row],[unique-sends]],1))
 - ((Table1[[#This Row],[unsub]]/Table1[[#This Row],[unique-sends]]*100)*2)</f>
        <v>48.101357602155836</v>
      </c>
      <c r="P238" s="37" t="str">
        <f>IF(Table1[[#This Row],[Engagement Score]]&lt;30,"🔴",IF(Table1[[#This Row],[Engagement Score]]&lt;40,"🟡","🟢"))</f>
        <v>🟢</v>
      </c>
      <c r="Q238" s="60"/>
      <c r="R238" s="60"/>
      <c r="S238" s="60"/>
      <c r="T238" s="87"/>
    </row>
    <row r="239" spans="1:20" ht="32.1" customHeight="1">
      <c r="A239" s="81">
        <v>14</v>
      </c>
      <c r="B239" s="138" t="s">
        <v>20</v>
      </c>
      <c r="C239" s="69">
        <v>45962</v>
      </c>
      <c r="D239" s="20" t="s">
        <v>21</v>
      </c>
      <c r="E239" s="20" t="s">
        <v>22</v>
      </c>
      <c r="F239" s="20" t="s">
        <v>23</v>
      </c>
      <c r="G239" s="9">
        <v>1826</v>
      </c>
      <c r="H239" s="25">
        <v>1666</v>
      </c>
      <c r="I239" s="29">
        <v>49</v>
      </c>
      <c r="J239" s="60">
        <v>7</v>
      </c>
      <c r="K239" s="35">
        <f>(Table1[[#This Row],[unsub]]/Table1[[#This Row],[unique-sends]])*100</f>
        <v>0.38335158817086529</v>
      </c>
      <c r="L239" s="21">
        <f>Table1[[#This Row],[unique-opens]] / Table1[[#This Row],[unique-sends]] * 100</f>
        <v>91.237677984665936</v>
      </c>
      <c r="M239" s="37">
        <f>Table1[[#This Row],[unique-clicks]] / Table1[[#This Row],[unique-sends]] * 100</f>
        <v>2.6834611171960567</v>
      </c>
      <c r="N239" s="37">
        <f>Table1[[#This Row],[unique-clicks]] / Table1[[#This Row],[unique-opens]] * 100</f>
        <v>2.9411764705882351</v>
      </c>
      <c r="O239" s="37">
        <f>(MIN(Table1[[#This Row],[unique-opens]]/Table1[[#This Row],[unique-sends]],1)*50
 + MIN(Table1[[#This Row],[unique-clicks]]/Table1[[#This Row],[unique-sends]],1)*50)
 * (1 + MIN(Table1[[#This Row],[unique-clicks]]/Table1[[#This Row],[unique-sends]],1))
 - ((Table1[[#This Row],[unsub]]/Table1[[#This Row],[unique-sends]]*100)*2)</f>
        <v>47.454034998902316</v>
      </c>
      <c r="P239" s="37" t="str">
        <f>IF(Table1[[#This Row],[Engagement Score]]&lt;30,"🔴",IF(Table1[[#This Row],[Engagement Score]]&lt;40,"🟡","🟢"))</f>
        <v>🟢</v>
      </c>
      <c r="Q239" s="60" t="s">
        <v>185</v>
      </c>
      <c r="R239" s="60" t="s">
        <v>185</v>
      </c>
      <c r="S239" s="60" t="s">
        <v>185</v>
      </c>
      <c r="T239" s="87" t="s">
        <v>185</v>
      </c>
    </row>
    <row r="240" spans="1:20" ht="32.1" customHeight="1">
      <c r="A240" s="81">
        <v>23</v>
      </c>
      <c r="B240" s="140" t="s">
        <v>190</v>
      </c>
      <c r="C240" s="69">
        <v>45962</v>
      </c>
      <c r="D240" s="41" t="s">
        <v>21</v>
      </c>
      <c r="E240" s="41" t="s">
        <v>22</v>
      </c>
      <c r="F240" s="20" t="s">
        <v>23</v>
      </c>
      <c r="G240" s="9">
        <v>592</v>
      </c>
      <c r="H240" s="25">
        <v>401</v>
      </c>
      <c r="I240" s="29">
        <v>62</v>
      </c>
      <c r="J240" s="16">
        <v>0</v>
      </c>
      <c r="K240" s="35">
        <f>(Table1[[#This Row],[unsub]]/Table1[[#This Row],[unique-sends]])*100</f>
        <v>0</v>
      </c>
      <c r="L240" s="44">
        <f>Table1[[#This Row],[unique-opens]] / Table1[[#This Row],[unique-sends]] * 100</f>
        <v>67.736486486486484</v>
      </c>
      <c r="M240" s="45">
        <f>Table1[[#This Row],[unique-clicks]] / Table1[[#This Row],[unique-sends]] * 100</f>
        <v>10.472972972972974</v>
      </c>
      <c r="N240" s="37">
        <f>Table1[[#This Row],[unique-clicks]] / Table1[[#This Row],[unique-opens]] * 100</f>
        <v>15.46134663341646</v>
      </c>
      <c r="O240" s="37">
        <f>(MIN(Table1[[#This Row],[unique-opens]]/Table1[[#This Row],[unique-sends]],1)*50
 + MIN(Table1[[#This Row],[unique-clicks]]/Table1[[#This Row],[unique-sends]],1)*50)
 * (1 + MIN(Table1[[#This Row],[unique-clicks]]/Table1[[#This Row],[unique-sends]],1))
 - ((Table1[[#This Row],[unsub]]/Table1[[#This Row],[unique-sends]]*100)*2)</f>
        <v>43.200157505478451</v>
      </c>
      <c r="P240" s="37" t="str">
        <f>IF(Table1[[#This Row],[Engagement Score]]&lt;30,"🔴",IF(Table1[[#This Row],[Engagement Score]]&lt;40,"🟡","🟢"))</f>
        <v>🟢</v>
      </c>
      <c r="Q240" s="60"/>
      <c r="R240" s="60"/>
      <c r="S240" s="60"/>
      <c r="T240" s="87"/>
    </row>
    <row r="241" spans="1:20" ht="32.1" customHeight="1">
      <c r="A241" s="81">
        <v>22</v>
      </c>
      <c r="B241" s="140" t="s">
        <v>191</v>
      </c>
      <c r="C241" s="69">
        <v>45962</v>
      </c>
      <c r="D241" s="46" t="s">
        <v>21</v>
      </c>
      <c r="E241" s="46" t="s">
        <v>22</v>
      </c>
      <c r="F241" s="20" t="s">
        <v>23</v>
      </c>
      <c r="G241" s="9">
        <v>780</v>
      </c>
      <c r="H241" s="25">
        <v>553</v>
      </c>
      <c r="I241" s="29">
        <v>198</v>
      </c>
      <c r="J241" s="11">
        <v>0</v>
      </c>
      <c r="K241" s="36">
        <f>(Table1[[#This Row],[unsub]]/Table1[[#This Row],[unique-sends]])*100</f>
        <v>0</v>
      </c>
      <c r="L241" s="6">
        <f>Table1[[#This Row],[unique-opens]] / Table1[[#This Row],[unique-sends]] * 100</f>
        <v>70.897435897435898</v>
      </c>
      <c r="M241" s="31">
        <f>Table1[[#This Row],[unique-clicks]] / Table1[[#This Row],[unique-sends]] * 100</f>
        <v>25.384615384615383</v>
      </c>
      <c r="N241" s="37">
        <f>Table1[[#This Row],[unique-clicks]] / Table1[[#This Row],[unique-opens]] * 100</f>
        <v>35.804701627486438</v>
      </c>
      <c r="O241" s="37">
        <f>(MIN(Table1[[#This Row],[unique-opens]]/Table1[[#This Row],[unique-sends]],1)*50
 + MIN(Table1[[#This Row],[unique-clicks]]/Table1[[#This Row],[unique-sends]],1)*50)
 * (1 + MIN(Table1[[#This Row],[unique-clicks]]/Table1[[#This Row],[unique-sends]],1))
 - ((Table1[[#This Row],[unsub]]/Table1[[#This Row],[unique-sends]]*100)*2)</f>
        <v>60.361439842209073</v>
      </c>
      <c r="P241" s="37" t="str">
        <f>IF(Table1[[#This Row],[Engagement Score]]&lt;30,"🔴",IF(Table1[[#This Row],[Engagement Score]]&lt;40,"🟡","🟢"))</f>
        <v>🟢</v>
      </c>
      <c r="Q241" s="60"/>
      <c r="R241" s="60"/>
      <c r="S241" s="60"/>
      <c r="T241" s="87"/>
    </row>
    <row r="242" spans="1:20" ht="32.1" customHeight="1">
      <c r="A242" s="81">
        <v>21</v>
      </c>
      <c r="B242" s="140" t="s">
        <v>192</v>
      </c>
      <c r="C242" s="69">
        <v>45962</v>
      </c>
      <c r="D242" s="41" t="s">
        <v>21</v>
      </c>
      <c r="E242" s="41" t="s">
        <v>22</v>
      </c>
      <c r="F242" s="20" t="s">
        <v>23</v>
      </c>
      <c r="G242" s="9">
        <v>840</v>
      </c>
      <c r="H242" s="25">
        <v>494</v>
      </c>
      <c r="I242" s="29">
        <v>94</v>
      </c>
      <c r="J242" s="16">
        <v>1</v>
      </c>
      <c r="K242" s="35">
        <f>(Table1[[#This Row],[unsub]]/Table1[[#This Row],[unique-sends]])*100</f>
        <v>0.11904761904761905</v>
      </c>
      <c r="L242" s="44">
        <f>Table1[[#This Row],[unique-opens]] / Table1[[#This Row],[unique-sends]] * 100</f>
        <v>58.80952380952381</v>
      </c>
      <c r="M242" s="45">
        <f>Table1[[#This Row],[unique-clicks]] / Table1[[#This Row],[unique-sends]] * 100</f>
        <v>11.190476190476192</v>
      </c>
      <c r="N242" s="37">
        <f>Table1[[#This Row],[unique-clicks]] / Table1[[#This Row],[unique-opens]] * 100</f>
        <v>19.02834008097166</v>
      </c>
      <c r="O242" s="37">
        <f>(MIN(Table1[[#This Row],[unique-opens]]/Table1[[#This Row],[unique-sends]],1)*50
 + MIN(Table1[[#This Row],[unique-clicks]]/Table1[[#This Row],[unique-sends]],1)*50)
 * (1 + MIN(Table1[[#This Row],[unique-clicks]]/Table1[[#This Row],[unique-sends]],1))
 - ((Table1[[#This Row],[unsub]]/Table1[[#This Row],[unique-sends]]*100)*2)</f>
        <v>38.678571428571431</v>
      </c>
      <c r="P242" s="37" t="str">
        <f>IF(Table1[[#This Row],[Engagement Score]]&lt;30,"🔴",IF(Table1[[#This Row],[Engagement Score]]&lt;40,"🟡","🟢"))</f>
        <v>🟡</v>
      </c>
      <c r="Q242" s="60"/>
      <c r="R242" s="60"/>
      <c r="S242" s="60"/>
      <c r="T242" s="87"/>
    </row>
    <row r="243" spans="1:20" ht="32.1" customHeight="1">
      <c r="A243" s="82">
        <v>20</v>
      </c>
      <c r="B243" s="143" t="s">
        <v>193</v>
      </c>
      <c r="C243" s="69">
        <v>45962</v>
      </c>
      <c r="D243" s="38" t="s">
        <v>21</v>
      </c>
      <c r="E243" s="38" t="s">
        <v>22</v>
      </c>
      <c r="F243" s="15" t="s">
        <v>23</v>
      </c>
      <c r="G243" s="13">
        <v>1377</v>
      </c>
      <c r="H243" s="24">
        <v>705</v>
      </c>
      <c r="I243" s="28">
        <v>42</v>
      </c>
      <c r="J243" s="16">
        <v>2</v>
      </c>
      <c r="K243" s="35">
        <f>(Table1[[#This Row],[unsub]]/Table1[[#This Row],[unique-sends]])*100</f>
        <v>0.14524328249818447</v>
      </c>
      <c r="L243" s="21">
        <f>Table1[[#This Row],[unique-opens]] / Table1[[#This Row],[unique-sends]] * 100</f>
        <v>51.19825708061002</v>
      </c>
      <c r="M243" s="37">
        <f>Table1[[#This Row],[unique-clicks]] / Table1[[#This Row],[unique-sends]] * 100</f>
        <v>3.0501089324618738</v>
      </c>
      <c r="N243" s="37">
        <f>Table1[[#This Row],[unique-clicks]] / Table1[[#This Row],[unique-opens]] * 100</f>
        <v>5.9574468085106389</v>
      </c>
      <c r="O243" s="37">
        <f>(MIN(Table1[[#This Row],[unique-opens]]/Table1[[#This Row],[unique-sends]],1)*50
 + MIN(Table1[[#This Row],[unique-clicks]]/Table1[[#This Row],[unique-sends]],1)*50)
 * (1 + MIN(Table1[[#This Row],[unique-clicks]]/Table1[[#This Row],[unique-sends]],1))
 - ((Table1[[#This Row],[unsub]]/Table1[[#This Row],[unique-sends]]*100)*2)</f>
        <v>27.661013570279238</v>
      </c>
      <c r="P243" s="37" t="str">
        <f>IF(Table1[[#This Row],[Engagement Score]]&lt;30,"🔴",IF(Table1[[#This Row],[Engagement Score]]&lt;40,"🟡","🟢"))</f>
        <v>🔴</v>
      </c>
      <c r="Q243" s="60"/>
      <c r="R243" s="60"/>
      <c r="S243" s="60"/>
      <c r="T243" s="87"/>
    </row>
    <row r="244" spans="1:20" ht="32.1" customHeight="1">
      <c r="A244" s="82">
        <v>87</v>
      </c>
      <c r="B244" s="86" t="s">
        <v>243</v>
      </c>
      <c r="C244" s="69">
        <v>45981</v>
      </c>
      <c r="D244" s="20" t="s">
        <v>21</v>
      </c>
      <c r="E244" s="20" t="s">
        <v>22</v>
      </c>
      <c r="F244" s="20" t="s">
        <v>23</v>
      </c>
      <c r="G244" s="13">
        <v>100</v>
      </c>
      <c r="H244" s="24">
        <v>66</v>
      </c>
      <c r="I244" s="28">
        <v>4</v>
      </c>
      <c r="J244" s="16">
        <v>0</v>
      </c>
      <c r="K244" s="35">
        <f>(Table1[[#This Row],[unsub]]/Table1[[#This Row],[unique-sends]])*100</f>
        <v>0</v>
      </c>
      <c r="L244" s="21">
        <f>Table1[[#This Row],[unique-opens]] / Table1[[#This Row],[unique-sends]] * 100</f>
        <v>66</v>
      </c>
      <c r="M244" s="37">
        <f>Table1[[#This Row],[unique-clicks]] / Table1[[#This Row],[unique-sends]] * 100</f>
        <v>4</v>
      </c>
      <c r="N244" s="37">
        <f>Table1[[#This Row],[unique-clicks]] / Table1[[#This Row],[unique-opens]] * 100</f>
        <v>6.0606060606060606</v>
      </c>
      <c r="O244" s="37">
        <f>(MIN(Table1[[#This Row],[unique-opens]]/Table1[[#This Row],[unique-sends]],1)*50
 + MIN(Table1[[#This Row],[unique-clicks]]/Table1[[#This Row],[unique-sends]],1)*50)
 * (1 + MIN(Table1[[#This Row],[unique-clicks]]/Table1[[#This Row],[unique-sends]],1))
 - ((Table1[[#This Row],[unsub]]/Table1[[#This Row],[unique-sends]]*100)*2)</f>
        <v>36.4</v>
      </c>
      <c r="P244" s="37" t="str">
        <f>IF(Table1[[#This Row],[Engagement Score]]&lt;30,"🔴",IF(Table1[[#This Row],[Engagement Score]]&lt;40,"🟡","🟢"))</f>
        <v>🟡</v>
      </c>
      <c r="Q244" s="14"/>
      <c r="R244" s="16"/>
      <c r="S244" s="16"/>
      <c r="T244" s="130"/>
    </row>
    <row r="245" spans="1:20" ht="32.1" customHeight="1">
      <c r="A245" s="81">
        <v>87</v>
      </c>
      <c r="B245" s="86" t="s">
        <v>243</v>
      </c>
      <c r="C245" s="69">
        <v>45981</v>
      </c>
      <c r="D245" s="20" t="s">
        <v>28</v>
      </c>
      <c r="E245" s="20" t="s">
        <v>22</v>
      </c>
      <c r="F245" s="20" t="s">
        <v>23</v>
      </c>
      <c r="G245" s="9">
        <v>1728</v>
      </c>
      <c r="H245" s="25">
        <v>651</v>
      </c>
      <c r="I245" s="29">
        <v>33</v>
      </c>
      <c r="J245" s="16">
        <v>4</v>
      </c>
      <c r="K245" s="35">
        <f>(Table1[[#This Row],[unsub]]/Table1[[#This Row],[unique-sends]])*100</f>
        <v>0.23148148148148145</v>
      </c>
      <c r="L245" s="6">
        <f>Table1[[#This Row],[unique-opens]] / Table1[[#This Row],[unique-sends]] * 100</f>
        <v>37.673611111111107</v>
      </c>
      <c r="M245" s="31">
        <f>Table1[[#This Row],[unique-clicks]] / Table1[[#This Row],[unique-sends]] * 100</f>
        <v>1.9097222222222223</v>
      </c>
      <c r="N245" s="37">
        <f>Table1[[#This Row],[unique-clicks]] / Table1[[#This Row],[unique-opens]] * 100</f>
        <v>5.0691244239631335</v>
      </c>
      <c r="O245" s="37">
        <f>(MIN(Table1[[#This Row],[unique-opens]]/Table1[[#This Row],[unique-sends]],1)*50
 + MIN(Table1[[#This Row],[unique-clicks]]/Table1[[#This Row],[unique-sends]],1)*50)
 * (1 + MIN(Table1[[#This Row],[unique-clicks]]/Table1[[#This Row],[unique-sends]],1))
 - ((Table1[[#This Row],[unsub]]/Table1[[#This Row],[unique-sends]]*100)*2)</f>
        <v>19.706669560185187</v>
      </c>
      <c r="P245" s="37" t="str">
        <f>IF(Table1[[#This Row],[Engagement Score]]&lt;30,"🔴",IF(Table1[[#This Row],[Engagement Score]]&lt;40,"🟡","🟢"))</f>
        <v>🔴</v>
      </c>
      <c r="Q245" s="14"/>
      <c r="R245" s="16"/>
      <c r="S245" s="16"/>
      <c r="T245" s="130"/>
    </row>
    <row r="246" spans="1:20" ht="32.1" customHeight="1">
      <c r="A246" s="80">
        <v>51</v>
      </c>
      <c r="B246" s="136" t="s">
        <v>156</v>
      </c>
      <c r="C246" s="69">
        <v>45962</v>
      </c>
      <c r="D246" s="20" t="s">
        <v>21</v>
      </c>
      <c r="E246" s="20" t="s">
        <v>22</v>
      </c>
      <c r="F246" s="19" t="s">
        <v>23</v>
      </c>
      <c r="G246" s="9">
        <v>933</v>
      </c>
      <c r="H246" s="25">
        <v>564</v>
      </c>
      <c r="I246" s="29">
        <v>31</v>
      </c>
      <c r="J246" s="11">
        <v>3</v>
      </c>
      <c r="K246" s="36">
        <f>(Table1[[#This Row],[unsub]]/Table1[[#This Row],[unique-sends]])*100</f>
        <v>0.32154340836012862</v>
      </c>
      <c r="L246" s="6">
        <f>Table1[[#This Row],[unique-opens]] / Table1[[#This Row],[unique-sends]] * 100</f>
        <v>60.450160771704176</v>
      </c>
      <c r="M246" s="31">
        <f>Table1[[#This Row],[unique-clicks]] / Table1[[#This Row],[unique-sends]] * 100</f>
        <v>3.322615219721329</v>
      </c>
      <c r="N246" s="37">
        <f>Table1[[#This Row],[unique-clicks]] / Table1[[#This Row],[unique-opens]] * 100</f>
        <v>5.4964539007092199</v>
      </c>
      <c r="O246" s="37">
        <f>(MIN(Table1[[#This Row],[unique-opens]]/Table1[[#This Row],[unique-sends]],1)*50
 + MIN(Table1[[#This Row],[unique-clicks]]/Table1[[#This Row],[unique-sends]],1)*50)
 * (1 + MIN(Table1[[#This Row],[unique-clicks]]/Table1[[#This Row],[unique-sends]],1))
 - ((Table1[[#This Row],[unsub]]/Table1[[#This Row],[unique-sends]]*100)*2)</f>
        <v>32.302763159557443</v>
      </c>
      <c r="P246" s="37" t="str">
        <f>IF(Table1[[#This Row],[Engagement Score]]&lt;30,"🔴",IF(Table1[[#This Row],[Engagement Score]]&lt;40,"🟡","🟢"))</f>
        <v>🟡</v>
      </c>
      <c r="Q246" s="14">
        <v>0</v>
      </c>
      <c r="R246" s="16">
        <v>0</v>
      </c>
      <c r="S246" s="16">
        <v>0</v>
      </c>
      <c r="T246" s="88"/>
    </row>
    <row r="247" spans="1:20" ht="32.1" customHeight="1">
      <c r="A247" s="80">
        <v>53</v>
      </c>
      <c r="B247" s="138" t="s">
        <v>157</v>
      </c>
      <c r="C247" s="69">
        <v>45962</v>
      </c>
      <c r="D247" s="15" t="s">
        <v>28</v>
      </c>
      <c r="E247" s="52" t="s">
        <v>22</v>
      </c>
      <c r="F247" s="19" t="s">
        <v>23</v>
      </c>
      <c r="G247" s="9">
        <v>105</v>
      </c>
      <c r="H247" s="25">
        <v>72</v>
      </c>
      <c r="I247" s="29">
        <v>6</v>
      </c>
      <c r="J247" s="11">
        <v>0</v>
      </c>
      <c r="K247" s="36">
        <f>(Table1[[#This Row],[unsub]]/Table1[[#This Row],[unique-sends]])*100</f>
        <v>0</v>
      </c>
      <c r="L247" s="6">
        <f>Table1[[#This Row],[unique-opens]] / Table1[[#This Row],[unique-sends]] * 100</f>
        <v>68.571428571428569</v>
      </c>
      <c r="M247" s="31">
        <f>Table1[[#This Row],[unique-clicks]] / Table1[[#This Row],[unique-sends]] * 100</f>
        <v>5.7142857142857144</v>
      </c>
      <c r="N247" s="37">
        <f>Table1[[#This Row],[unique-clicks]] / Table1[[#This Row],[unique-opens]] * 100</f>
        <v>8.3333333333333321</v>
      </c>
      <c r="O247" s="37">
        <f>(MIN(Table1[[#This Row],[unique-opens]]/Table1[[#This Row],[unique-sends]],1)*50
 + MIN(Table1[[#This Row],[unique-clicks]]/Table1[[#This Row],[unique-sends]],1)*50)
 * (1 + MIN(Table1[[#This Row],[unique-clicks]]/Table1[[#This Row],[unique-sends]],1))
 - ((Table1[[#This Row],[unsub]]/Table1[[#This Row],[unique-sends]]*100)*2)</f>
        <v>39.265306122448976</v>
      </c>
      <c r="P247" s="37" t="str">
        <f>IF(Table1[[#This Row],[Engagement Score]]&lt;30,"🔴",IF(Table1[[#This Row],[Engagement Score]]&lt;40,"🟡","🟢"))</f>
        <v>🟡</v>
      </c>
      <c r="Q247" s="10">
        <v>0</v>
      </c>
      <c r="R247" s="11">
        <v>0</v>
      </c>
      <c r="S247" s="11">
        <v>0</v>
      </c>
      <c r="T247" s="88"/>
    </row>
    <row r="248" spans="1:20" ht="32.1" customHeight="1">
      <c r="A248" s="82">
        <v>30</v>
      </c>
      <c r="B248" s="86" t="s">
        <v>244</v>
      </c>
      <c r="C248" s="69">
        <v>45965</v>
      </c>
      <c r="D248" s="15" t="s">
        <v>28</v>
      </c>
      <c r="E248" s="15" t="s">
        <v>25</v>
      </c>
      <c r="F248" s="19" t="s">
        <v>26</v>
      </c>
      <c r="G248" s="13">
        <v>1963</v>
      </c>
      <c r="H248" s="24">
        <v>1324</v>
      </c>
      <c r="I248" s="28">
        <v>90</v>
      </c>
      <c r="J248" s="16">
        <v>1</v>
      </c>
      <c r="K248" s="35">
        <f>(Table1[[#This Row],[unsub]]/Table1[[#This Row],[unique-sends]])*100</f>
        <v>5.094243504839531E-2</v>
      </c>
      <c r="L248" s="21">
        <f>Table1[[#This Row],[unique-opens]] / Table1[[#This Row],[unique-sends]] * 100</f>
        <v>67.447784004075402</v>
      </c>
      <c r="M248" s="37">
        <f>Table1[[#This Row],[unique-clicks]] / Table1[[#This Row],[unique-sends]] * 100</f>
        <v>4.5848191543555776</v>
      </c>
      <c r="N248" s="37">
        <f>Table1[[#This Row],[unique-clicks]] / Table1[[#This Row],[unique-opens]] * 100</f>
        <v>6.7975830815709974</v>
      </c>
      <c r="O248" s="37">
        <f>(MIN(Table1[[#This Row],[unique-opens]]/Table1[[#This Row],[unique-sends]],1)*50
 + MIN(Table1[[#This Row],[unique-clicks]]/Table1[[#This Row],[unique-sends]],1)*50)
 * (1 + MIN(Table1[[#This Row],[unique-clicks]]/Table1[[#This Row],[unique-sends]],1))
 - ((Table1[[#This Row],[unsub]]/Table1[[#This Row],[unique-sends]]*100)*2)</f>
        <v>37.565699002613037</v>
      </c>
      <c r="P248" s="37" t="str">
        <f>IF(Table1[[#This Row],[Engagement Score]]&lt;30,"🔴",IF(Table1[[#This Row],[Engagement Score]]&lt;40,"🟡","🟢"))</f>
        <v>🟡</v>
      </c>
      <c r="Q248" s="14"/>
      <c r="R248" s="16"/>
      <c r="S248" s="16"/>
      <c r="T248" s="130"/>
    </row>
    <row r="249" spans="1:20" ht="32.1" customHeight="1">
      <c r="A249" s="82">
        <v>30</v>
      </c>
      <c r="B249" s="86" t="s">
        <v>244</v>
      </c>
      <c r="C249" s="70">
        <v>45965</v>
      </c>
      <c r="D249" s="38" t="s">
        <v>21</v>
      </c>
      <c r="E249" s="38" t="s">
        <v>25</v>
      </c>
      <c r="F249" s="15" t="s">
        <v>26</v>
      </c>
      <c r="G249" s="13">
        <v>7911</v>
      </c>
      <c r="H249" s="24">
        <v>4590</v>
      </c>
      <c r="I249" s="28">
        <v>196</v>
      </c>
      <c r="J249" s="16">
        <v>0</v>
      </c>
      <c r="K249" s="35">
        <f>(Table1[[#This Row],[unsub]]/Table1[[#This Row],[unique-sends]])*100</f>
        <v>0</v>
      </c>
      <c r="L249" s="21">
        <f>Table1[[#This Row],[unique-opens]] / Table1[[#This Row],[unique-sends]] * 100</f>
        <v>58.020477815699657</v>
      </c>
      <c r="M249" s="37">
        <f>Table1[[#This Row],[unique-clicks]] / Table1[[#This Row],[unique-sends]] * 100</f>
        <v>2.477562887119201</v>
      </c>
      <c r="N249" s="37">
        <f>Table1[[#This Row],[unique-clicks]] / Table1[[#This Row],[unique-opens]] * 100</f>
        <v>4.2701525054466236</v>
      </c>
      <c r="O249" s="37">
        <f>(MIN(Table1[[#This Row],[unique-opens]]/Table1[[#This Row],[unique-sends]],1)*50
 + MIN(Table1[[#This Row],[unique-clicks]]/Table1[[#This Row],[unique-sends]],1)*50)
 * (1 + MIN(Table1[[#This Row],[unique-clicks]]/Table1[[#This Row],[unique-sends]],1))
 - ((Table1[[#This Row],[unsub]]/Table1[[#This Row],[unique-sends]]*100)*2)</f>
        <v>30.998458853353082</v>
      </c>
      <c r="P249" s="37" t="str">
        <f>IF(Table1[[#This Row],[Engagement Score]]&lt;30,"🔴",IF(Table1[[#This Row],[Engagement Score]]&lt;40,"🟡","🟢"))</f>
        <v>🟡</v>
      </c>
      <c r="Q249" s="14"/>
      <c r="R249" s="16"/>
      <c r="S249" s="16"/>
      <c r="T249" s="130"/>
    </row>
    <row r="250" spans="1:20" ht="32.1" customHeight="1">
      <c r="A250" s="82">
        <v>85</v>
      </c>
      <c r="B250" s="148" t="s">
        <v>245</v>
      </c>
      <c r="C250" s="70">
        <v>45964</v>
      </c>
      <c r="D250" s="15" t="s">
        <v>28</v>
      </c>
      <c r="E250" s="15" t="s">
        <v>97</v>
      </c>
      <c r="F250" s="15" t="s">
        <v>26</v>
      </c>
      <c r="G250" s="13">
        <v>10621</v>
      </c>
      <c r="H250" s="24">
        <v>5086</v>
      </c>
      <c r="I250" s="28">
        <v>172</v>
      </c>
      <c r="J250" s="16">
        <v>4</v>
      </c>
      <c r="K250" s="35">
        <f>(Table1[[#This Row],[unsub]]/Table1[[#This Row],[unique-sends]])*100</f>
        <v>3.766123717164109E-2</v>
      </c>
      <c r="L250" s="21">
        <f>Table1[[#This Row],[unique-opens]] / Table1[[#This Row],[unique-sends]] * 100</f>
        <v>47.886263063741644</v>
      </c>
      <c r="M250" s="37">
        <f>Table1[[#This Row],[unique-clicks]] / Table1[[#This Row],[unique-sends]] * 100</f>
        <v>1.6194331983805668</v>
      </c>
      <c r="N250" s="37">
        <f>Table1[[#This Row],[unique-clicks]] / Table1[[#This Row],[unique-opens]] * 100</f>
        <v>3.3818324813212746</v>
      </c>
      <c r="O250" s="37">
        <f>(MIN(Table1[[#This Row],[unique-opens]]/Table1[[#This Row],[unique-sends]],1)*50
 + MIN(Table1[[#This Row],[unique-clicks]]/Table1[[#This Row],[unique-sends]],1)*50)
 * (1 + MIN(Table1[[#This Row],[unique-clicks]]/Table1[[#This Row],[unique-sends]],1))
 - ((Table1[[#This Row],[unsub]]/Table1[[#This Row],[unique-sends]]*100)*2)</f>
        <v>25.078381496896952</v>
      </c>
      <c r="P250" s="37" t="str">
        <f>IF(Table1[[#This Row],[Engagement Score]]&lt;30,"🔴",IF(Table1[[#This Row],[Engagement Score]]&lt;40,"🟡","🟢"))</f>
        <v>🔴</v>
      </c>
      <c r="Q250" s="14"/>
      <c r="R250" s="16"/>
      <c r="S250" s="16"/>
      <c r="T250" s="130"/>
    </row>
    <row r="251" spans="1:20" ht="32.1" customHeight="1">
      <c r="A251" s="82">
        <v>84</v>
      </c>
      <c r="B251" s="148" t="s">
        <v>246</v>
      </c>
      <c r="C251" s="70">
        <v>45964</v>
      </c>
      <c r="D251" s="41" t="s">
        <v>21</v>
      </c>
      <c r="E251" s="41" t="s">
        <v>97</v>
      </c>
      <c r="F251" s="15" t="s">
        <v>26</v>
      </c>
      <c r="G251" s="9">
        <v>42458</v>
      </c>
      <c r="H251" s="25">
        <v>18780</v>
      </c>
      <c r="I251" s="29">
        <v>925</v>
      </c>
      <c r="J251" s="16">
        <v>41</v>
      </c>
      <c r="K251" s="35">
        <f>(Table1[[#This Row],[unsub]]/Table1[[#This Row],[unique-sends]])*100</f>
        <v>9.6566018182674643E-2</v>
      </c>
      <c r="L251" s="21">
        <f>Table1[[#This Row],[unique-opens]] / Table1[[#This Row],[unique-sends]] * 100</f>
        <v>44.23194686513731</v>
      </c>
      <c r="M251" s="37">
        <f>Table1[[#This Row],[unique-clicks]] / Table1[[#This Row],[unique-sends]] * 100</f>
        <v>2.1786235809505867</v>
      </c>
      <c r="N251" s="37">
        <f>Table1[[#This Row],[unique-clicks]] / Table1[[#This Row],[unique-opens]] * 100</f>
        <v>4.925452609158679</v>
      </c>
      <c r="O251" s="37">
        <f>(MIN(Table1[[#This Row],[unique-opens]]/Table1[[#This Row],[unique-sends]],1)*50
 + MIN(Table1[[#This Row],[unique-clicks]]/Table1[[#This Row],[unique-sends]],1)*50)
 * (1 + MIN(Table1[[#This Row],[unique-clicks]]/Table1[[#This Row],[unique-sends]],1))
 - ((Table1[[#This Row],[unsub]]/Table1[[#This Row],[unique-sends]]*100)*2)</f>
        <v>23.517709002574676</v>
      </c>
      <c r="P251" s="37" t="str">
        <f>IF(Table1[[#This Row],[Engagement Score]]&lt;30,"🔴",IF(Table1[[#This Row],[Engagement Score]]&lt;40,"🟡","🟢"))</f>
        <v>🔴</v>
      </c>
      <c r="Q251" s="14"/>
      <c r="R251" s="16"/>
      <c r="S251" s="16"/>
      <c r="T251" s="130"/>
    </row>
    <row r="252" spans="1:20" ht="32.1" customHeight="1">
      <c r="A252" s="82">
        <v>84</v>
      </c>
      <c r="B252" s="148" t="s">
        <v>247</v>
      </c>
      <c r="C252" s="70">
        <v>45964</v>
      </c>
      <c r="D252" s="41" t="s">
        <v>21</v>
      </c>
      <c r="E252" s="41" t="s">
        <v>97</v>
      </c>
      <c r="F252" s="15" t="s">
        <v>26</v>
      </c>
      <c r="G252" s="9">
        <v>47621</v>
      </c>
      <c r="H252" s="25">
        <v>17998</v>
      </c>
      <c r="I252" s="29">
        <v>316</v>
      </c>
      <c r="J252" s="16">
        <v>85</v>
      </c>
      <c r="K252" s="35">
        <f>(Table1[[#This Row],[unsub]]/Table1[[#This Row],[unique-sends]])*100</f>
        <v>0.17849268180004618</v>
      </c>
      <c r="L252" s="6">
        <f>Table1[[#This Row],[unique-opens]] / Table1[[#This Row],[unique-sends]] * 100</f>
        <v>37.794250435732138</v>
      </c>
      <c r="M252" s="31">
        <f>Table1[[#This Row],[unique-clicks]] / Table1[[#This Row],[unique-sends]] * 100</f>
        <v>0.66357279351546583</v>
      </c>
      <c r="N252" s="37">
        <f>Table1[[#This Row],[unique-clicks]] / Table1[[#This Row],[unique-opens]] * 100</f>
        <v>1.7557506389598843</v>
      </c>
      <c r="O252" s="37">
        <f>(MIN(Table1[[#This Row],[unique-opens]]/Table1[[#This Row],[unique-sends]],1)*50
 + MIN(Table1[[#This Row],[unique-clicks]]/Table1[[#This Row],[unique-sends]],1)*50)
 * (1 + MIN(Table1[[#This Row],[unique-clicks]]/Table1[[#This Row],[unique-sends]],1))
 - ((Table1[[#This Row],[unsub]]/Table1[[#This Row],[unique-sends]]*100)*2)</f>
        <v>18.999524076987491</v>
      </c>
      <c r="P252" s="37" t="str">
        <f>IF(Table1[[#This Row],[Engagement Score]]&lt;30,"🔴",IF(Table1[[#This Row],[Engagement Score]]&lt;40,"🟡","🟢"))</f>
        <v>🔴</v>
      </c>
      <c r="Q252" s="14"/>
      <c r="R252" s="16"/>
      <c r="S252" s="16"/>
      <c r="T252" s="130"/>
    </row>
    <row r="253" spans="1:20" ht="32.1" customHeight="1">
      <c r="A253" s="82">
        <v>89</v>
      </c>
      <c r="B253" s="86" t="s">
        <v>248</v>
      </c>
      <c r="C253" s="70">
        <v>45966</v>
      </c>
      <c r="D253" s="41" t="s">
        <v>21</v>
      </c>
      <c r="E253" s="52" t="s">
        <v>22</v>
      </c>
      <c r="F253" s="15" t="s">
        <v>26</v>
      </c>
      <c r="G253" s="13">
        <v>70457</v>
      </c>
      <c r="H253" s="24">
        <v>35728</v>
      </c>
      <c r="I253" s="28">
        <v>1315</v>
      </c>
      <c r="J253" s="16">
        <v>106</v>
      </c>
      <c r="K253" s="35">
        <f>(Table1[[#This Row],[unsub]]/Table1[[#This Row],[unique-sends]])*100</f>
        <v>0.15044637154576551</v>
      </c>
      <c r="L253" s="21">
        <f>Table1[[#This Row],[unique-opens]] / Table1[[#This Row],[unique-sends]] * 100</f>
        <v>50.708943043274623</v>
      </c>
      <c r="M253" s="37">
        <f>Table1[[#This Row],[unique-clicks]] / Table1[[#This Row],[unique-sends]] * 100</f>
        <v>1.8663865904026571</v>
      </c>
      <c r="N253" s="37">
        <f>Table1[[#This Row],[unique-clicks]] / Table1[[#This Row],[unique-opens]] * 100</f>
        <v>3.680586654724586</v>
      </c>
      <c r="O253" s="37">
        <f>(MIN(Table1[[#This Row],[unique-opens]]/Table1[[#This Row],[unique-sends]],1)*50
 + MIN(Table1[[#This Row],[unique-clicks]]/Table1[[#This Row],[unique-sends]],1)*50)
 * (1 + MIN(Table1[[#This Row],[unique-clicks]]/Table1[[#This Row],[unique-sends]],1))
 - ((Table1[[#This Row],[unsub]]/Table1[[#This Row],[unique-sends]]*100)*2)</f>
        <v>26.477401524818582</v>
      </c>
      <c r="P253" s="37" t="str">
        <f>IF(Table1[[#This Row],[Engagement Score]]&lt;30,"🔴",IF(Table1[[#This Row],[Engagement Score]]&lt;40,"🟡","🟢"))</f>
        <v>🔴</v>
      </c>
      <c r="Q253" s="14">
        <v>82.4</v>
      </c>
      <c r="R253" s="16">
        <v>11.9</v>
      </c>
      <c r="S253" s="16">
        <v>5.7</v>
      </c>
      <c r="T253" s="131" t="s">
        <v>249</v>
      </c>
    </row>
    <row r="254" spans="1:20" ht="32.1" customHeight="1">
      <c r="A254" s="82">
        <v>89</v>
      </c>
      <c r="B254" s="86" t="s">
        <v>250</v>
      </c>
      <c r="C254" s="70">
        <v>45966</v>
      </c>
      <c r="D254" s="41" t="s">
        <v>21</v>
      </c>
      <c r="E254" s="52" t="s">
        <v>22</v>
      </c>
      <c r="F254" s="15" t="s">
        <v>26</v>
      </c>
      <c r="G254" s="9">
        <v>67700</v>
      </c>
      <c r="H254" s="25">
        <v>37029</v>
      </c>
      <c r="I254" s="29">
        <v>871</v>
      </c>
      <c r="J254" s="16">
        <v>122</v>
      </c>
      <c r="K254" s="35">
        <f>(Table1[[#This Row],[unsub]]/Table1[[#This Row],[unique-sends]])*100</f>
        <v>0.18020679468242246</v>
      </c>
      <c r="L254" s="21">
        <f>Table1[[#This Row],[unique-opens]] / Table1[[#This Row],[unique-sends]] * 100</f>
        <v>54.695716395864103</v>
      </c>
      <c r="M254" s="37">
        <f>Table1[[#This Row],[unique-clicks]] / Table1[[#This Row],[unique-sends]] * 100</f>
        <v>1.2865583456425407</v>
      </c>
      <c r="N254" s="37">
        <f>Table1[[#This Row],[unique-clicks]] / Table1[[#This Row],[unique-opens]] * 100</f>
        <v>2.3522104296632369</v>
      </c>
      <c r="O254" s="37">
        <f>(MIN(Table1[[#This Row],[unique-opens]]/Table1[[#This Row],[unique-sends]],1)*50
 + MIN(Table1[[#This Row],[unique-clicks]]/Table1[[#This Row],[unique-sends]],1)*50)
 * (1 + MIN(Table1[[#This Row],[unique-clicks]]/Table1[[#This Row],[unique-sends]],1))
 - ((Table1[[#This Row],[unsub]]/Table1[[#This Row],[unique-sends]]*100)*2)</f>
        <v>27.990846095272168</v>
      </c>
      <c r="P254" s="37" t="str">
        <f>IF(Table1[[#This Row],[Engagement Score]]&lt;30,"🔴",IF(Table1[[#This Row],[Engagement Score]]&lt;40,"🟡","🟢"))</f>
        <v>🔴</v>
      </c>
      <c r="Q254" s="14">
        <v>76.8</v>
      </c>
      <c r="R254" s="16">
        <v>13</v>
      </c>
      <c r="S254" s="16">
        <v>10.199999999999999</v>
      </c>
      <c r="T254" s="131" t="s">
        <v>249</v>
      </c>
    </row>
    <row r="255" spans="1:20" ht="32.1" customHeight="1">
      <c r="A255" s="82">
        <v>89</v>
      </c>
      <c r="B255" s="86" t="s">
        <v>251</v>
      </c>
      <c r="C255" s="70">
        <v>45966</v>
      </c>
      <c r="D255" s="41" t="s">
        <v>21</v>
      </c>
      <c r="E255" s="52" t="s">
        <v>22</v>
      </c>
      <c r="F255" s="15" t="s">
        <v>26</v>
      </c>
      <c r="G255" s="9">
        <v>61439</v>
      </c>
      <c r="H255" s="25">
        <v>37004</v>
      </c>
      <c r="I255" s="29">
        <v>646</v>
      </c>
      <c r="J255" s="16">
        <v>99</v>
      </c>
      <c r="K255" s="35">
        <f>(Table1[[#This Row],[unsub]]/Table1[[#This Row],[unique-sends]])*100</f>
        <v>0.16113543514705642</v>
      </c>
      <c r="L255" s="21">
        <f>Table1[[#This Row],[unique-opens]] / Table1[[#This Row],[unique-sends]] * 100</f>
        <v>60.228844870521982</v>
      </c>
      <c r="M255" s="37">
        <f>Table1[[#This Row],[unique-clicks]] / Table1[[#This Row],[unique-sends]] * 100</f>
        <v>1.0514494051009946</v>
      </c>
      <c r="N255" s="37">
        <f>Table1[[#This Row],[unique-clicks]] / Table1[[#This Row],[unique-opens]] * 100</f>
        <v>1.7457572154361691</v>
      </c>
      <c r="O255" s="37">
        <f>(MIN(Table1[[#This Row],[unique-opens]]/Table1[[#This Row],[unique-sends]],1)*50
 + MIN(Table1[[#This Row],[unique-clicks]]/Table1[[#This Row],[unique-sends]],1)*50)
 * (1 + MIN(Table1[[#This Row],[unique-clicks]]/Table1[[#This Row],[unique-sends]],1))
 - ((Table1[[#This Row],[unsub]]/Table1[[#This Row],[unique-sends]]*100)*2)</f>
        <v>30.640041912319969</v>
      </c>
      <c r="P255" s="37" t="str">
        <f>IF(Table1[[#This Row],[Engagement Score]]&lt;30,"🔴",IF(Table1[[#This Row],[Engagement Score]]&lt;40,"🟡","🟢"))</f>
        <v>🟡</v>
      </c>
      <c r="Q255" s="14">
        <v>60.8</v>
      </c>
      <c r="R255" s="16">
        <v>17.600000000000001</v>
      </c>
      <c r="S255" s="16">
        <v>21.6</v>
      </c>
      <c r="T255" s="131" t="s">
        <v>249</v>
      </c>
    </row>
    <row r="256" spans="1:20" ht="32.1" customHeight="1">
      <c r="A256" s="82">
        <v>89</v>
      </c>
      <c r="B256" s="86" t="s">
        <v>252</v>
      </c>
      <c r="C256" s="70">
        <v>45966</v>
      </c>
      <c r="D256" s="41" t="s">
        <v>21</v>
      </c>
      <c r="E256" s="52" t="s">
        <v>22</v>
      </c>
      <c r="F256" s="15" t="s">
        <v>26</v>
      </c>
      <c r="G256" s="9">
        <v>15761</v>
      </c>
      <c r="H256" s="25">
        <v>9423</v>
      </c>
      <c r="I256" s="29">
        <v>143</v>
      </c>
      <c r="J256" s="16">
        <v>18</v>
      </c>
      <c r="K256" s="35">
        <f>(Table1[[#This Row],[unsub]]/Table1[[#This Row],[unique-sends]])*100</f>
        <v>0.1142059513990229</v>
      </c>
      <c r="L256" s="6">
        <f>Table1[[#This Row],[unique-opens]] / Table1[[#This Row],[unique-sends]] * 100</f>
        <v>59.786815557388493</v>
      </c>
      <c r="M256" s="31">
        <f>Table1[[#This Row],[unique-clicks]] / Table1[[#This Row],[unique-sends]] * 100</f>
        <v>0.90730283611445972</v>
      </c>
      <c r="N256" s="37">
        <f>Table1[[#This Row],[unique-clicks]] / Table1[[#This Row],[unique-opens]] * 100</f>
        <v>1.5175634086808871</v>
      </c>
      <c r="O256" s="37">
        <f>(MIN(Table1[[#This Row],[unique-opens]]/Table1[[#This Row],[unique-sends]],1)*50
 + MIN(Table1[[#This Row],[unique-clicks]]/Table1[[#This Row],[unique-sends]],1)*50)
 * (1 + MIN(Table1[[#This Row],[unique-clicks]]/Table1[[#This Row],[unique-sends]],1))
 - ((Table1[[#This Row],[unsub]]/Table1[[#This Row],[unique-sends]]*100)*2)</f>
        <v>30.393987022722893</v>
      </c>
      <c r="P256" s="37" t="str">
        <f>IF(Table1[[#This Row],[Engagement Score]]&lt;30,"🔴",IF(Table1[[#This Row],[Engagement Score]]&lt;40,"🟡","🟢"))</f>
        <v>🟡</v>
      </c>
      <c r="Q256" s="14">
        <v>64.099999999999994</v>
      </c>
      <c r="R256" s="16">
        <v>14.1</v>
      </c>
      <c r="S256" s="16">
        <v>21.8</v>
      </c>
      <c r="T256" s="131" t="s">
        <v>249</v>
      </c>
    </row>
    <row r="257" spans="1:20" ht="32.1" customHeight="1">
      <c r="A257" s="82">
        <v>31</v>
      </c>
      <c r="B257" s="86" t="s">
        <v>253</v>
      </c>
      <c r="C257" s="70">
        <v>45968</v>
      </c>
      <c r="D257" s="15" t="s">
        <v>21</v>
      </c>
      <c r="E257" s="15" t="s">
        <v>25</v>
      </c>
      <c r="F257" s="15" t="s">
        <v>26</v>
      </c>
      <c r="G257" s="13">
        <v>834</v>
      </c>
      <c r="H257" s="24">
        <v>565</v>
      </c>
      <c r="I257" s="28">
        <v>23</v>
      </c>
      <c r="J257" s="16">
        <v>0</v>
      </c>
      <c r="K257" s="35">
        <f>(Table1[[#This Row],[unsub]]/Table1[[#This Row],[unique-sends]])*100</f>
        <v>0</v>
      </c>
      <c r="L257" s="21">
        <f>Table1[[#This Row],[unique-opens]] / Table1[[#This Row],[unique-sends]] * 100</f>
        <v>67.745803357314145</v>
      </c>
      <c r="M257" s="37">
        <f>Table1[[#This Row],[unique-clicks]] / Table1[[#This Row],[unique-sends]] * 100</f>
        <v>2.7577937649880093</v>
      </c>
      <c r="N257" s="37">
        <f>Table1[[#This Row],[unique-clicks]] / Table1[[#This Row],[unique-opens]] * 100</f>
        <v>4.0707964601769913</v>
      </c>
      <c r="O257" s="37">
        <f>(MIN(Table1[[#This Row],[unique-opens]]/Table1[[#This Row],[unique-sends]],1)*50
 + MIN(Table1[[#This Row],[unique-clicks]]/Table1[[#This Row],[unique-sends]],1)*50)
 * (1 + MIN(Table1[[#This Row],[unique-clicks]]/Table1[[#This Row],[unique-sends]],1))
 - ((Table1[[#This Row],[unsub]]/Table1[[#This Row],[unique-sends]]*100)*2)</f>
        <v>36.223970463916636</v>
      </c>
      <c r="P257" s="37" t="str">
        <f>IF(Table1[[#This Row],[Engagement Score]]&lt;30,"🔴",IF(Table1[[#This Row],[Engagement Score]]&lt;40,"🟡","🟢"))</f>
        <v>🟡</v>
      </c>
      <c r="Q257" s="14"/>
      <c r="R257" s="16"/>
      <c r="S257" s="16"/>
      <c r="T257" s="130"/>
    </row>
    <row r="258" spans="1:20" ht="32.1" customHeight="1">
      <c r="A258" s="82">
        <v>90</v>
      </c>
      <c r="B258" s="86" t="s">
        <v>254</v>
      </c>
      <c r="C258" s="70">
        <v>45973</v>
      </c>
      <c r="D258" s="41" t="s">
        <v>21</v>
      </c>
      <c r="E258" s="52" t="s">
        <v>22</v>
      </c>
      <c r="F258" s="15" t="s">
        <v>26</v>
      </c>
      <c r="G258" s="13">
        <v>6689</v>
      </c>
      <c r="H258" s="24">
        <v>4328</v>
      </c>
      <c r="I258" s="28">
        <v>966</v>
      </c>
      <c r="J258" s="16">
        <v>2</v>
      </c>
      <c r="K258" s="35">
        <f>(Table1[[#This Row],[unsub]]/Table1[[#This Row],[unique-sends]])*100</f>
        <v>2.9899835550904471E-2</v>
      </c>
      <c r="L258" s="21">
        <f>Table1[[#This Row],[unique-opens]] / Table1[[#This Row],[unique-sends]] * 100</f>
        <v>64.70324413215728</v>
      </c>
      <c r="M258" s="37">
        <f>Table1[[#This Row],[unique-clicks]] / Table1[[#This Row],[unique-sends]] * 100</f>
        <v>14.441620571086858</v>
      </c>
      <c r="N258" s="37">
        <f>Table1[[#This Row],[unique-clicks]] / Table1[[#This Row],[unique-opens]] * 100</f>
        <v>22.31977818853974</v>
      </c>
      <c r="O258" s="37">
        <f>(MIN(Table1[[#This Row],[unique-opens]]/Table1[[#This Row],[unique-sends]],1)*50
 + MIN(Table1[[#This Row],[unique-clicks]]/Table1[[#This Row],[unique-sends]],1)*50)
 * (1 + MIN(Table1[[#This Row],[unique-clicks]]/Table1[[#This Row],[unique-sends]],1))
 - ((Table1[[#This Row],[unsub]]/Table1[[#This Row],[unique-sends]]*100)*2)</f>
        <v>45.227533211491547</v>
      </c>
      <c r="P258" s="37" t="str">
        <f>IF(Table1[[#This Row],[Engagement Score]]&lt;30,"🔴",IF(Table1[[#This Row],[Engagement Score]]&lt;40,"🟡","🟢"))</f>
        <v>🟢</v>
      </c>
      <c r="Q258" s="14">
        <v>79.5</v>
      </c>
      <c r="R258" s="16">
        <v>12.1</v>
      </c>
      <c r="S258" s="16">
        <v>8.4</v>
      </c>
      <c r="T258" s="151" t="s">
        <v>255</v>
      </c>
    </row>
    <row r="259" spans="1:20" ht="32.1" customHeight="1">
      <c r="A259" s="82">
        <v>90</v>
      </c>
      <c r="B259" s="86" t="s">
        <v>256</v>
      </c>
      <c r="C259" s="70">
        <v>45973</v>
      </c>
      <c r="D259" s="41" t="s">
        <v>21</v>
      </c>
      <c r="E259" s="52" t="s">
        <v>22</v>
      </c>
      <c r="F259" s="15" t="s">
        <v>26</v>
      </c>
      <c r="G259" s="13">
        <v>6530</v>
      </c>
      <c r="H259" s="24">
        <v>4360</v>
      </c>
      <c r="I259" s="28">
        <v>974</v>
      </c>
      <c r="J259" s="16">
        <v>4</v>
      </c>
      <c r="K259" s="35">
        <f>(Table1[[#This Row],[unsub]]/Table1[[#This Row],[unique-sends]])*100</f>
        <v>6.1255742725880552E-2</v>
      </c>
      <c r="L259" s="21">
        <f>Table1[[#This Row],[unique-opens]] / Table1[[#This Row],[unique-sends]] * 100</f>
        <v>66.768759571209799</v>
      </c>
      <c r="M259" s="37">
        <f>Table1[[#This Row],[unique-clicks]] / Table1[[#This Row],[unique-sends]] * 100</f>
        <v>14.915773353751916</v>
      </c>
      <c r="N259" s="37">
        <f>Table1[[#This Row],[unique-clicks]] / Table1[[#This Row],[unique-opens]] * 100</f>
        <v>22.339449541284402</v>
      </c>
      <c r="O259" s="37">
        <f>(MIN(Table1[[#This Row],[unique-opens]]/Table1[[#This Row],[unique-sends]],1)*50
 + MIN(Table1[[#This Row],[unique-clicks]]/Table1[[#This Row],[unique-sends]],1)*50)
 * (1 + MIN(Table1[[#This Row],[unique-clicks]]/Table1[[#This Row],[unique-sends]],1))
 - ((Table1[[#This Row],[unsub]]/Table1[[#This Row],[unique-sends]]*100)*2)</f>
        <v>46.811694875108174</v>
      </c>
      <c r="P259" s="37" t="str">
        <f>IF(Table1[[#This Row],[Engagement Score]]&lt;30,"🔴",IF(Table1[[#This Row],[Engagement Score]]&lt;40,"🟡","🟢"))</f>
        <v>🟢</v>
      </c>
      <c r="Q259" s="149">
        <v>80.2</v>
      </c>
      <c r="R259" s="150">
        <v>14.7</v>
      </c>
      <c r="S259" s="150">
        <v>5.0999999999999996</v>
      </c>
      <c r="T259" s="131" t="s">
        <v>257</v>
      </c>
    </row>
    <row r="260" spans="1:20" ht="32.1" customHeight="1">
      <c r="A260" s="82">
        <v>30</v>
      </c>
      <c r="B260" s="86" t="s">
        <v>258</v>
      </c>
      <c r="C260" s="70">
        <v>45980</v>
      </c>
      <c r="D260" s="15" t="s">
        <v>28</v>
      </c>
      <c r="E260" s="15" t="s">
        <v>25</v>
      </c>
      <c r="F260" s="19" t="s">
        <v>26</v>
      </c>
      <c r="G260" s="13">
        <v>363</v>
      </c>
      <c r="H260" s="24">
        <v>229</v>
      </c>
      <c r="I260" s="28">
        <v>14</v>
      </c>
      <c r="J260" s="16">
        <v>0</v>
      </c>
      <c r="K260" s="35">
        <f>(Table1[[#This Row],[unsub]]/Table1[[#This Row],[unique-sends]])*100</f>
        <v>0</v>
      </c>
      <c r="L260" s="21">
        <f>Table1[[#This Row],[unique-opens]] / Table1[[#This Row],[unique-sends]] * 100</f>
        <v>63.085399449035819</v>
      </c>
      <c r="M260" s="37">
        <f>Table1[[#This Row],[unique-clicks]] / Table1[[#This Row],[unique-sends]] * 100</f>
        <v>3.8567493112947657</v>
      </c>
      <c r="N260" s="37">
        <f>Table1[[#This Row],[unique-clicks]] / Table1[[#This Row],[unique-opens]] * 100</f>
        <v>6.1135371179039302</v>
      </c>
      <c r="O260" s="37">
        <f>(MIN(Table1[[#This Row],[unique-opens]]/Table1[[#This Row],[unique-sends]],1)*50
 + MIN(Table1[[#This Row],[unique-clicks]]/Table1[[#This Row],[unique-sends]],1)*50)
 * (1 + MIN(Table1[[#This Row],[unique-clicks]]/Table1[[#This Row],[unique-sends]],1))
 - ((Table1[[#This Row],[unsub]]/Table1[[#This Row],[unique-sends]]*100)*2)</f>
        <v>34.761969810805276</v>
      </c>
      <c r="P260" s="37" t="str">
        <f>IF(Table1[[#This Row],[Engagement Score]]&lt;30,"🔴",IF(Table1[[#This Row],[Engagement Score]]&lt;40,"🟡","🟢"))</f>
        <v>🟡</v>
      </c>
      <c r="Q260" s="149">
        <v>65.900000000000006</v>
      </c>
      <c r="R260" s="150">
        <v>22</v>
      </c>
      <c r="S260" s="150">
        <v>12.2</v>
      </c>
      <c r="T260" s="131" t="s">
        <v>259</v>
      </c>
    </row>
    <row r="261" spans="1:20" ht="32.1" customHeight="1">
      <c r="A261" s="81">
        <v>30</v>
      </c>
      <c r="B261" s="86" t="s">
        <v>258</v>
      </c>
      <c r="C261" s="70">
        <v>45980</v>
      </c>
      <c r="D261" s="38" t="s">
        <v>21</v>
      </c>
      <c r="E261" s="38" t="s">
        <v>25</v>
      </c>
      <c r="F261" s="15" t="s">
        <v>26</v>
      </c>
      <c r="G261" s="9">
        <v>6370</v>
      </c>
      <c r="H261" s="25">
        <v>3363</v>
      </c>
      <c r="I261" s="29">
        <v>207</v>
      </c>
      <c r="J261" s="16">
        <v>3</v>
      </c>
      <c r="K261" s="35">
        <f>(Table1[[#This Row],[unsub]]/Table1[[#This Row],[unique-sends]])*100</f>
        <v>4.7095761381475663E-2</v>
      </c>
      <c r="L261" s="6">
        <f>Table1[[#This Row],[unique-opens]] / Table1[[#This Row],[unique-sends]] * 100</f>
        <v>52.794348508634229</v>
      </c>
      <c r="M261" s="31">
        <f>Table1[[#This Row],[unique-clicks]] / Table1[[#This Row],[unique-sends]] * 100</f>
        <v>3.2496075353218212</v>
      </c>
      <c r="N261" s="37">
        <f>Table1[[#This Row],[unique-clicks]] / Table1[[#This Row],[unique-opens]] * 100</f>
        <v>6.1552185548617304</v>
      </c>
      <c r="O261" s="37">
        <f>(MIN(Table1[[#This Row],[unique-opens]]/Table1[[#This Row],[unique-sends]],1)*50
 + MIN(Table1[[#This Row],[unique-clicks]]/Table1[[#This Row],[unique-sends]],1)*50)
 * (1 + MIN(Table1[[#This Row],[unique-clicks]]/Table1[[#This Row],[unique-sends]],1))
 - ((Table1[[#This Row],[unsub]]/Table1[[#This Row],[unique-sends]]*100)*2)</f>
        <v>28.838390808563496</v>
      </c>
      <c r="P261" s="37" t="str">
        <f>IF(Table1[[#This Row],[Engagement Score]]&lt;30,"🔴",IF(Table1[[#This Row],[Engagement Score]]&lt;40,"🟡","🟢"))</f>
        <v>🔴</v>
      </c>
      <c r="Q261" s="149">
        <v>80</v>
      </c>
      <c r="R261" s="150">
        <v>12.9</v>
      </c>
      <c r="S261" s="150">
        <v>7.1</v>
      </c>
      <c r="T261" s="131" t="s">
        <v>260</v>
      </c>
    </row>
    <row r="262" spans="1:20" ht="32.1" customHeight="1">
      <c r="A262" s="81">
        <v>30</v>
      </c>
      <c r="B262" s="86" t="s">
        <v>261</v>
      </c>
      <c r="C262" s="70">
        <v>45980</v>
      </c>
      <c r="D262" s="15" t="s">
        <v>28</v>
      </c>
      <c r="E262" s="15" t="s">
        <v>25</v>
      </c>
      <c r="F262" s="19" t="s">
        <v>26</v>
      </c>
      <c r="G262" s="13">
        <v>1090</v>
      </c>
      <c r="H262" s="24">
        <v>674</v>
      </c>
      <c r="I262" s="28">
        <v>41</v>
      </c>
      <c r="J262" s="16">
        <v>0</v>
      </c>
      <c r="K262" s="35">
        <f>(Table1[[#This Row],[unsub]]/Table1[[#This Row],[unique-sends]])*100</f>
        <v>0</v>
      </c>
      <c r="L262" s="21">
        <f>Table1[[#This Row],[unique-opens]] / Table1[[#This Row],[unique-sends]] * 100</f>
        <v>61.834862385321102</v>
      </c>
      <c r="M262" s="37">
        <f>Table1[[#This Row],[unique-clicks]] / Table1[[#This Row],[unique-sends]] * 100</f>
        <v>3.761467889908257</v>
      </c>
      <c r="N262" s="37">
        <f>Table1[[#This Row],[unique-clicks]] / Table1[[#This Row],[unique-opens]] * 100</f>
        <v>6.0830860534124627</v>
      </c>
      <c r="O262" s="37">
        <f>(MIN(Table1[[#This Row],[unique-opens]]/Table1[[#This Row],[unique-sends]],1)*50
 + MIN(Table1[[#This Row],[unique-clicks]]/Table1[[#This Row],[unique-sends]],1)*50)
 * (1 + MIN(Table1[[#This Row],[unique-clicks]]/Table1[[#This Row],[unique-sends]],1))
 - ((Table1[[#This Row],[unsub]]/Table1[[#This Row],[unique-sends]]*100)*2)</f>
        <v>34.031857587745144</v>
      </c>
      <c r="P262" s="37" t="str">
        <f>IF(Table1[[#This Row],[Engagement Score]]&lt;30,"🔴",IF(Table1[[#This Row],[Engagement Score]]&lt;40,"🟡","🟢"))</f>
        <v>🟡</v>
      </c>
      <c r="Q262" s="149">
        <v>51</v>
      </c>
      <c r="R262" s="150">
        <v>19.600000000000001</v>
      </c>
      <c r="S262" s="150">
        <v>29.4</v>
      </c>
      <c r="T262" s="131" t="s">
        <v>262</v>
      </c>
    </row>
    <row r="263" spans="1:20" ht="32.1" customHeight="1">
      <c r="A263" s="81">
        <v>30</v>
      </c>
      <c r="B263" s="86" t="s">
        <v>261</v>
      </c>
      <c r="C263" s="70">
        <v>45980</v>
      </c>
      <c r="D263" s="38" t="s">
        <v>21</v>
      </c>
      <c r="E263" s="38" t="s">
        <v>25</v>
      </c>
      <c r="F263" s="15" t="s">
        <v>26</v>
      </c>
      <c r="G263" s="9">
        <v>3693</v>
      </c>
      <c r="H263" s="25">
        <v>2016</v>
      </c>
      <c r="I263" s="29">
        <v>71</v>
      </c>
      <c r="J263" s="16">
        <v>0</v>
      </c>
      <c r="K263" s="35">
        <f>(Table1[[#This Row],[unsub]]/Table1[[#This Row],[unique-sends]])*100</f>
        <v>0</v>
      </c>
      <c r="L263" s="6">
        <f>Table1[[#This Row],[unique-opens]] / Table1[[#This Row],[unique-sends]] * 100</f>
        <v>54.589764419171402</v>
      </c>
      <c r="M263" s="31">
        <f>Table1[[#This Row],[unique-clicks]] / Table1[[#This Row],[unique-sends]] * 100</f>
        <v>1.9225561873815327</v>
      </c>
      <c r="N263" s="37">
        <f>Table1[[#This Row],[unique-clicks]] / Table1[[#This Row],[unique-opens]] * 100</f>
        <v>3.5218253968253967</v>
      </c>
      <c r="O263" s="37">
        <f>(MIN(Table1[[#This Row],[unique-opens]]/Table1[[#This Row],[unique-sends]],1)*50
 + MIN(Table1[[#This Row],[unique-clicks]]/Table1[[#This Row],[unique-sends]],1)*50)
 * (1 + MIN(Table1[[#This Row],[unique-clicks]]/Table1[[#This Row],[unique-sends]],1))
 - ((Table1[[#This Row],[unsub]]/Table1[[#This Row],[unique-sends]]*100)*2)</f>
        <v>28.799400861503553</v>
      </c>
      <c r="P263" s="37" t="str">
        <f>IF(Table1[[#This Row],[Engagement Score]]&lt;30,"🔴",IF(Table1[[#This Row],[Engagement Score]]&lt;40,"🟡","🟢"))</f>
        <v>🔴</v>
      </c>
      <c r="Q263" s="149">
        <v>72.2</v>
      </c>
      <c r="R263" s="150">
        <v>13.7</v>
      </c>
      <c r="S263" s="150">
        <v>14.1</v>
      </c>
      <c r="T263" s="131" t="s">
        <v>263</v>
      </c>
    </row>
    <row r="264" spans="1:20" ht="32.1" customHeight="1">
      <c r="A264" s="82">
        <v>91</v>
      </c>
      <c r="B264" s="86" t="s">
        <v>264</v>
      </c>
      <c r="C264" s="70">
        <v>45986</v>
      </c>
      <c r="D264" s="15" t="s">
        <v>28</v>
      </c>
      <c r="E264" s="52" t="s">
        <v>22</v>
      </c>
      <c r="F264" s="15" t="s">
        <v>26</v>
      </c>
      <c r="G264" s="13">
        <v>18028</v>
      </c>
      <c r="H264" s="24">
        <v>10515</v>
      </c>
      <c r="I264" s="28">
        <v>292</v>
      </c>
      <c r="J264" s="16">
        <v>17</v>
      </c>
      <c r="K264" s="35">
        <f>(Table1[[#This Row],[unsub]]/Table1[[#This Row],[unique-sends]])*100</f>
        <v>9.4297759041491014E-2</v>
      </c>
      <c r="L264" s="6">
        <f>Table1[[#This Row],[unique-opens]] / Table1[[#This Row],[unique-sends]] * 100</f>
        <v>58.325937430663409</v>
      </c>
      <c r="M264" s="31">
        <f>Table1[[#This Row],[unique-clicks]] / Table1[[#This Row],[unique-sends]] * 100</f>
        <v>1.6197026847126692</v>
      </c>
      <c r="N264" s="37">
        <f>Table1[[#This Row],[unique-clicks]] / Table1[[#This Row],[unique-opens]] * 100</f>
        <v>2.77698525915359</v>
      </c>
      <c r="O264" s="37">
        <f>(MIN(Table1[[#This Row],[unique-opens]]/Table1[[#This Row],[unique-sends]],1)*50
 + MIN(Table1[[#This Row],[unique-clicks]]/Table1[[#This Row],[unique-sends]],1)*50)
 * (1 + MIN(Table1[[#This Row],[unique-clicks]]/Table1[[#This Row],[unique-sends]],1))
 - ((Table1[[#This Row],[unsub]]/Table1[[#This Row],[unique-sends]]*100)*2)</f>
        <v>30.269695110763532</v>
      </c>
      <c r="P264" s="37" t="str">
        <f>IF(Table1[[#This Row],[Engagement Score]]&lt;30,"🔴",IF(Table1[[#This Row],[Engagement Score]]&lt;40,"🟡","🟢"))</f>
        <v>🟡</v>
      </c>
      <c r="Q264" s="149">
        <v>74.7</v>
      </c>
      <c r="R264" s="150">
        <v>14.6</v>
      </c>
      <c r="S264" s="150">
        <v>10.7</v>
      </c>
      <c r="T264" s="131" t="s">
        <v>265</v>
      </c>
    </row>
    <row r="265" spans="1:20" ht="32.1" customHeight="1">
      <c r="A265" s="82">
        <v>91</v>
      </c>
      <c r="B265" s="86" t="s">
        <v>266</v>
      </c>
      <c r="C265" s="70">
        <v>45986</v>
      </c>
      <c r="D265" s="38" t="s">
        <v>21</v>
      </c>
      <c r="E265" s="52" t="s">
        <v>22</v>
      </c>
      <c r="F265" s="15" t="s">
        <v>26</v>
      </c>
      <c r="G265" s="9">
        <v>345077</v>
      </c>
      <c r="H265" s="25">
        <v>185336</v>
      </c>
      <c r="I265" s="29">
        <v>5310</v>
      </c>
      <c r="J265" s="16">
        <v>528</v>
      </c>
      <c r="K265" s="35">
        <f>(Table1[[#This Row],[unsub]]/Table1[[#This Row],[unique-sends]])*100</f>
        <v>0.15300932835280243</v>
      </c>
      <c r="L265" s="6">
        <f>Table1[[#This Row],[unique-opens]] / Table1[[#This Row],[unique-sends]] * 100</f>
        <v>53.708592574990512</v>
      </c>
      <c r="M265" s="31">
        <f>Table1[[#This Row],[unique-clicks]] / Table1[[#This Row],[unique-sends]] * 100</f>
        <v>1.5387869953662516</v>
      </c>
      <c r="N265" s="37">
        <f>Table1[[#This Row],[unique-clicks]] / Table1[[#This Row],[unique-opens]] * 100</f>
        <v>2.865066689687918</v>
      </c>
      <c r="O265" s="37">
        <f>(MIN(Table1[[#This Row],[unique-opens]]/Table1[[#This Row],[unique-sends]],1)*50
 + MIN(Table1[[#This Row],[unique-clicks]]/Table1[[#This Row],[unique-sends]],1)*50)
 * (1 + MIN(Table1[[#This Row],[unique-clicks]]/Table1[[#This Row],[unique-sends]],1))
 - ((Table1[[#This Row],[unsub]]/Table1[[#This Row],[unique-sends]]*100)*2)</f>
        <v>27.742740874527417</v>
      </c>
      <c r="P265" s="37" t="str">
        <f>IF(Table1[[#This Row],[Engagement Score]]&lt;30,"🔴",IF(Table1[[#This Row],[Engagement Score]]&lt;40,"🟡","🟢"))</f>
        <v>🔴</v>
      </c>
      <c r="Q265" s="149">
        <v>79.7</v>
      </c>
      <c r="R265" s="150">
        <v>11.9</v>
      </c>
      <c r="S265" s="150">
        <v>8.3000000000000007</v>
      </c>
      <c r="T265" s="131" t="s">
        <v>267</v>
      </c>
    </row>
    <row r="266" spans="1:20" ht="32.1" customHeight="1">
      <c r="A266" s="82">
        <v>92</v>
      </c>
      <c r="B266" s="136" t="s">
        <v>268</v>
      </c>
      <c r="C266" s="70">
        <v>45989</v>
      </c>
      <c r="D266" s="38" t="s">
        <v>21</v>
      </c>
      <c r="E266" s="15" t="s">
        <v>21</v>
      </c>
      <c r="F266" s="15" t="s">
        <v>26</v>
      </c>
      <c r="G266" s="13">
        <v>922</v>
      </c>
      <c r="H266" s="24">
        <v>556</v>
      </c>
      <c r="I266" s="28">
        <v>326</v>
      </c>
      <c r="J266" s="16">
        <v>1</v>
      </c>
      <c r="K266" s="35">
        <f>(Table1[[#This Row],[unsub]]/Table1[[#This Row],[unique-sends]])*100</f>
        <v>0.10845986984815618</v>
      </c>
      <c r="L266" s="21">
        <f>Table1[[#This Row],[unique-opens]] / Table1[[#This Row],[unique-sends]] * 100</f>
        <v>60.303687635574832</v>
      </c>
      <c r="M266" s="37">
        <f>Table1[[#This Row],[unique-clicks]] / Table1[[#This Row],[unique-sends]] * 100</f>
        <v>35.357917570498913</v>
      </c>
      <c r="N266" s="37">
        <f>Table1[[#This Row],[unique-clicks]] / Table1[[#This Row],[unique-opens]] * 100</f>
        <v>58.633093525179859</v>
      </c>
      <c r="O266" s="37">
        <f>(MIN(Table1[[#This Row],[unique-opens]]/Table1[[#This Row],[unique-sends]],1)*50
 + MIN(Table1[[#This Row],[unique-clicks]]/Table1[[#This Row],[unique-sends]],1)*50)
 * (1 + MIN(Table1[[#This Row],[unique-clicks]]/Table1[[#This Row],[unique-sends]],1))
 - ((Table1[[#This Row],[unsub]]/Table1[[#This Row],[unique-sends]]*100)*2)</f>
        <v>64.525858621030395</v>
      </c>
      <c r="P266" s="37" t="str">
        <f>IF(Table1[[#This Row],[Engagement Score]]&lt;30,"🔴",IF(Table1[[#This Row],[Engagement Score]]&lt;40,"🟡","🟢"))</f>
        <v>🟢</v>
      </c>
      <c r="Q266" s="149">
        <v>33.299999999999997</v>
      </c>
      <c r="R266" s="150">
        <v>66.7</v>
      </c>
      <c r="S266" s="150">
        <v>0</v>
      </c>
      <c r="T266" s="131" t="s">
        <v>237</v>
      </c>
    </row>
  </sheetData>
  <conditionalFormatting sqref="M1:M217 M223:M1048576">
    <cfRule type="cellIs" dxfId="36" priority="11" operator="greaterThan">
      <formula>20</formula>
    </cfRule>
  </conditionalFormatting>
  <conditionalFormatting sqref="C202:C204">
    <cfRule type="cellIs" dxfId="35" priority="9" operator="lessThanOrEqual">
      <formula>TODAY()</formula>
    </cfRule>
  </conditionalFormatting>
  <conditionalFormatting sqref="C205:C207">
    <cfRule type="cellIs" dxfId="34" priority="8" operator="lessThanOrEqual">
      <formula>TODAY()</formula>
    </cfRule>
  </conditionalFormatting>
  <conditionalFormatting sqref="T226:T1048576 T224 T1:T210">
    <cfRule type="duplicateValues" dxfId="33" priority="14"/>
  </conditionalFormatting>
  <conditionalFormatting sqref="T211">
    <cfRule type="duplicateValues" dxfId="32" priority="7"/>
  </conditionalFormatting>
  <conditionalFormatting sqref="T212">
    <cfRule type="duplicateValues" dxfId="31" priority="6"/>
  </conditionalFormatting>
  <conditionalFormatting sqref="T213:T220">
    <cfRule type="duplicateValues" dxfId="30" priority="5"/>
  </conditionalFormatting>
  <conditionalFormatting sqref="T222">
    <cfRule type="duplicateValues" dxfId="29" priority="4"/>
  </conditionalFormatting>
  <conditionalFormatting sqref="T221">
    <cfRule type="duplicateValues" dxfId="28" priority="3"/>
  </conditionalFormatting>
  <conditionalFormatting sqref="T223">
    <cfRule type="duplicateValues" dxfId="27" priority="1"/>
  </conditionalFormatting>
  <conditionalFormatting sqref="T225">
    <cfRule type="duplicateValues" dxfId="26" priority="20"/>
  </conditionalFormatting>
  <hyperlinks>
    <hyperlink ref="B3" r:id="rId1" location="/@cbus/sname:prod/journey-optimizer/journey/report/#/workspace/template/ajo-journey/541e1d3f-d064-4e8c-ad26-a2f26946d5ec" xr:uid="{A0444A8C-B658-434F-912C-6E4903003899}"/>
    <hyperlink ref="B33" r:id="rId2" location="/@cbus/sname:prod/journey-optimizer/journey/report/" xr:uid="{7F7AB8F8-DEAF-3449-99E1-B7BA87B8D6EF}"/>
    <hyperlink ref="B34" r:id="rId3" location="/@cbus/sname:prod/journey-optimizer/journey/report/" xr:uid="{B63C576D-7994-6D43-BAC0-C9CB36419E3D}"/>
    <hyperlink ref="B29" r:id="rId4" location="/@cbus/sname:prod/journey-optimizer/journey/report/" xr:uid="{55F1AE99-10CB-7148-815A-490ABAE8C7E5}"/>
    <hyperlink ref="B30" r:id="rId5" location="/@cbus/sname:prod/journey-optimizer/journey/report/" xr:uid="{E086D344-6939-0546-BD48-E1DE212F93A3}"/>
    <hyperlink ref="B31" r:id="rId6" location="/@cbus/sname:prod/journey-optimizer/journey/report/" xr:uid="{BA7A759B-B2FB-C64C-AACF-2D62F08DC76A}"/>
    <hyperlink ref="B32" r:id="rId7" location="/@cbus/sname:prod/journey-optimizer/journey/report/" xr:uid="{4D168887-CA13-A245-A790-692A0821F674}"/>
    <hyperlink ref="B35" r:id="rId8" location="/@cbus/sname:prod/journey-optimizer/journey/report/" xr:uid="{A74DA7AF-FF8B-CD43-A7F7-7E57FBD2A7BA}"/>
    <hyperlink ref="B36" r:id="rId9" location="/@cbus/sname:prod/journey-optimizer/journey/report/" xr:uid="{0DCFFBD3-AB88-B84D-96F9-F86FD4E67D64}"/>
    <hyperlink ref="B38" r:id="rId10" location="/@cbus/sname:prod/journey-optimizer/journey/report/" xr:uid="{6DF15277-6029-7343-8803-C69575ED3570}"/>
    <hyperlink ref="B37" r:id="rId11" location="/@cbus/sname:prod/journey-optimizer/journey/report/" display="EOFY Performance" xr:uid="{4F2D85B6-4267-0641-8B81-5023B9593C70}"/>
    <hyperlink ref="B39" r:id="rId12" location="/@cbus/sname:prod/journey-optimizer/journey/report/" display="EOFY Performance" xr:uid="{B316FBC2-9FEE-B340-A267-E6ECABFCA375}"/>
    <hyperlink ref="B40" r:id="rId13" location="/@cbus/sname:prod/journey-optimizer/journey/report/" display="EOFY Performance" xr:uid="{ED60402C-1452-B241-8941-D6448A79EB4B}"/>
    <hyperlink ref="B41" r:id="rId14" location="/@cbus/sname:prod/journey-optimizer/journey/report/" xr:uid="{2DDC3489-8245-B045-B27C-0C53BE66B1D3}"/>
    <hyperlink ref="B42" r:id="rId15" location="/@cbus/sname:prod/journey-optimizer/journey/report/" xr:uid="{CC18B321-7B40-B14C-B0BA-0B394F37FB1B}"/>
    <hyperlink ref="B43" r:id="rId16" location="/@cbus/sname:prod/journey-optimizer/journey/report/" display="CBUS - Corporate insurance SEN (AME) Cbus" xr:uid="{C540744B-5256-B74D-917A-E9C3183B0ED0}"/>
    <hyperlink ref="B44" r:id="rId17" location="/@cbus/sname:prod/journey-optimizer/journey/report/" xr:uid="{D2AD9D56-ED8D-A74B-BF75-E0A47B438E34}"/>
    <hyperlink ref="B45" r:id="rId18" location="/@cbus/sname:prod/journey-optimizer/journey/report/" xr:uid="{E0417873-39DF-B845-B923-0200FA9CA2F7}"/>
    <hyperlink ref="B50" r:id="rId19" location="/@cbus/sname:prod/journey-optimizer/journey/report/" xr:uid="{D74E4B1C-FE5C-C542-800C-ECA69E65CCF0}"/>
    <hyperlink ref="B51" r:id="rId20" location="/@cbus/sname:prod/journey-optimizer/journey/report/" xr:uid="{9E4CF538-4AC2-1849-8C5A-4AB7B64B6F63}"/>
    <hyperlink ref="B46" r:id="rId21" location="/@cbus/sname:prod/journey-optimizer/journey/report/" xr:uid="{B25CC288-D429-7342-8850-3247BA70AFCE}"/>
    <hyperlink ref="B47" r:id="rId22" location="/@cbus/sname:prod/journey-optimizer/journey/report/" xr:uid="{53BC90F5-EC80-0D48-BDE3-6B226F229779}"/>
    <hyperlink ref="B48" r:id="rId23" location="/@cbus/sname:prod/journey-optimizer/journey/report/" xr:uid="{9AB33328-4010-F843-B550-8D7E64EC2CD1}"/>
    <hyperlink ref="B49" r:id="rId24" location="/@cbus/sname:prod/journey-optimizer/journey/report/" xr:uid="{1CD36E2E-A888-B64A-A43F-52462AF0D631}"/>
    <hyperlink ref="B4" r:id="rId25" location="/@cbus/sname:prod/journey-optimizer/journey/report/#/workspace/template/ajo-journey/541e1d3f-d064-4e8c-ad26-a2f26946d5ec" xr:uid="{BFA6D6B9-0F92-4A98-BC01-3F66ECBAF652}"/>
    <hyperlink ref="T4" r:id="rId26" xr:uid="{51BBEF75-8B33-4A54-A5A5-C3E2872BA63D}"/>
    <hyperlink ref="T3" r:id="rId27" xr:uid="{9B91B3EB-9AC1-4462-A67A-81961D7FCB79}"/>
    <hyperlink ref="T33" r:id="rId28" xr:uid="{1077084C-D29E-4ABC-BD53-A05F91719125}"/>
    <hyperlink ref="T34" r:id="rId29" xr:uid="{E82B6BA4-E16F-492E-BCD8-911C556EA12C}"/>
    <hyperlink ref="T29" r:id="rId30" xr:uid="{6184ED25-1DF9-49D3-AC87-98D010A3B3E0}"/>
    <hyperlink ref="T30" r:id="rId31" xr:uid="{23489B88-1AF7-440D-82A5-D2C99B402CE1}"/>
    <hyperlink ref="T31" r:id="rId32" xr:uid="{29D38B7B-0EEB-4F1D-BD67-2FE0B692C886}"/>
    <hyperlink ref="T32" r:id="rId33" xr:uid="{E529B59E-BC39-41D7-A6B8-B76C65B02964}"/>
    <hyperlink ref="T35" r:id="rId34" xr:uid="{75D776C4-686E-4764-A0CE-7978746739AA}"/>
    <hyperlink ref="T36" r:id="rId35" xr:uid="{18534669-D2F7-4C45-BE71-B06E441E98C4}"/>
    <hyperlink ref="T41" r:id="rId36" xr:uid="{4456DFDD-02ED-4178-A1B2-7A56262C79A7}"/>
    <hyperlink ref="T42" r:id="rId37" xr:uid="{85BEFFFA-77A3-49CF-94D8-7F3EBFED1A80}"/>
    <hyperlink ref="T44" r:id="rId38" xr:uid="{9D50E18A-27F4-4E22-95C5-F200362F77FE}"/>
    <hyperlink ref="T45" r:id="rId39" xr:uid="{49F0C4D7-6B49-48CB-9B69-3680BAAED979}"/>
    <hyperlink ref="T50" r:id="rId40" xr:uid="{669F8622-A0EA-44FE-8AAA-EAB6EE53AEB9}"/>
    <hyperlink ref="T51" r:id="rId41" xr:uid="{3EC869FD-833C-4252-AFF2-954077725E77}"/>
    <hyperlink ref="B77" r:id="rId42" location="/@cbus/sname:prod/journey-optimizer/journey/report/#/workspace/template/ajo-journey/2b3a8bd7-9314-4486-bed5-590aae72eef6" xr:uid="{DDE7FEFC-6B1E-4AA0-B976-36D2973B650E}"/>
    <hyperlink ref="T77" r:id="rId43" xr:uid="{7AD33B0E-E2D3-41B8-9172-D15847D781D8}"/>
    <hyperlink ref="B78" r:id="rId44" location="/@cbus/sname:prod/journey-optimizer/journey/report/#/workspace/template/ajo-journey/837cd468-99da-4b6c-86ed-a729c8dedaed" xr:uid="{8D543BC5-E411-41F4-AC77-9D04065517CB}"/>
    <hyperlink ref="T78" r:id="rId45" xr:uid="{0118962C-499A-4545-8BD4-3ABE37EC8589}"/>
    <hyperlink ref="B79" r:id="rId46" location="/@cbus/sname:prod/journey-optimizer/journey/report/#/workspace/template/ajo-journey/1c60eb15-5315-4d97-bc92-f3321a8f2bb8" xr:uid="{0C3ADEAB-E937-4D0F-A344-AB2EAC09C8ED}"/>
    <hyperlink ref="T79" r:id="rId47" xr:uid="{EA3D39DE-B821-4DE6-A6E8-54C4DB4002CB}"/>
    <hyperlink ref="B82" r:id="rId48" location="/@cbus/sname:prod/journey-optimizer/journey/report/#/workspace/template/ajo-journey/d0d232aa-3290-434d-8c3f-c589a73ea607" xr:uid="{21BFCBA6-6AD1-4DF1-BFCC-97AF53BF164E}"/>
    <hyperlink ref="B83" r:id="rId49" location="/@cbus/sname:prod/journey-optimizer/journey/report/#/workspace/template/ajo-journey/d0d232aa-3290-434d-8c3f-c589a73ea607" xr:uid="{FFD820BD-0682-4A01-886A-FC6E140DD7F6}"/>
    <hyperlink ref="T82" r:id="rId50" xr:uid="{BDD938AD-4F2D-4D6D-A609-A2D733A83114}"/>
    <hyperlink ref="T83" r:id="rId51" xr:uid="{54C0322F-D13C-44D8-B6EB-53DBB2BCA1C8}"/>
    <hyperlink ref="B80" r:id="rId52" location="/@cbus/sname:prod/journey-optimizer/journey/report/#/workspace/template/ajo-journey/10c562f8-f91d-4456-8e2f-4ac211353527" xr:uid="{10A9ABF1-9B48-49EB-8857-3A95282225D7}"/>
    <hyperlink ref="B81" r:id="rId53" location="/@cbus/sname:prod/journey-optimizer/journey/report/#/workspace/template/ajo-journey/10c562f8-f91d-4456-8e2f-4ac211353527" xr:uid="{03BE0AA5-037E-4E17-8386-29BAE9E3BEE5}"/>
    <hyperlink ref="T80" r:id="rId54" xr:uid="{337F27CF-D0CD-4B04-A48D-36C253F1BE4F}"/>
    <hyperlink ref="T81" r:id="rId55" xr:uid="{7FE3D493-8D5B-4496-8F77-D73CA4BD72FB}"/>
    <hyperlink ref="B85" r:id="rId56" location="/@cbus/sname:prod/journey-optimizer/journey/report/#/workspace/template/ajo-journey/2be0e003-3e51-476c-86ea-8a1f8913d899" xr:uid="{DCBBFEEB-0E31-4647-A7B8-662452421D74}"/>
    <hyperlink ref="B86" r:id="rId57" location="/@cbus/sname:prod/journey-optimizer/journey/report/#/workspace/template/ajo-journey/2be0e003-3e51-476c-86ea-8a1f8913d899" xr:uid="{F08C799E-E69A-4FAE-9577-3BE26DC55F8C}"/>
    <hyperlink ref="T85" r:id="rId58" xr:uid="{F25A322F-4512-4FB9-896D-FC4488D151BC}"/>
    <hyperlink ref="T86" r:id="rId59" xr:uid="{E9B325CA-DA26-471B-8892-3CD505753BC9}"/>
    <hyperlink ref="B84" r:id="rId60" location="/@cbus/sname:prod/journey-optimizer/journey/report/#/workspace/template/ajo-journey/d5aac9ae-16b6-46ce-9310-1ba0004b45ea" xr:uid="{FCD585C4-F8D5-442F-82A2-8DA88F7E9D6B}"/>
    <hyperlink ref="T84" r:id="rId61" xr:uid="{E2C5678C-A592-4E8F-8D77-8769EA44690D}"/>
    <hyperlink ref="B87" r:id="rId62" location="/@cbus/sname:prod/journey-optimizer/journey/report/#/workspace/template/ajo-journey/3cb123bc-fd8e-4868-82f1-14995d53c591" xr:uid="{930F7BAC-EDE4-4C25-8B39-8677C9CD53AD}"/>
    <hyperlink ref="B88" r:id="rId63" location="/@cbus/sname:prod/journey-optimizer/journey/report/#/workspace/template/ajo-journey/3cb123bc-fd8e-4868-82f1-14995d53c591" xr:uid="{DDF5BEEE-A105-4CBA-B3EF-4B0632B51EAE}"/>
    <hyperlink ref="T87" r:id="rId64" xr:uid="{28F02C08-2175-4786-AE8B-EF7115BB2A13}"/>
    <hyperlink ref="T88" r:id="rId65" xr:uid="{6B6FA851-5730-41C3-9AD3-29501233C4EF}"/>
    <hyperlink ref="B89" r:id="rId66" location="/@cbus/sname:prod/journey-optimizer/journey/report/#/workspace/template/ajo-journey/47e8e523-4417-4b5b-90e5-f72b14e59a38" display="Cbus Advocacy Research" xr:uid="{415E68FE-63DA-4727-BBF2-D5B9E5B4A68B}"/>
    <hyperlink ref="T89" r:id="rId67" xr:uid="{2AD3FFE5-FB20-4C1E-B57F-CFE0E5B36B26}"/>
    <hyperlink ref="B92" r:id="rId68" location="/@cbus/sname:prod/journey-optimizer/journey/report/#/workspace/template/ajo-journey/50c38354-a1aa-4221-89a9-67b1c2af5d56" xr:uid="{776AA357-15C0-415F-AD46-2E881767E760}"/>
    <hyperlink ref="T92" r:id="rId69" xr:uid="{67874548-D942-44D2-AFBC-BB37ACD6D8B7}"/>
    <hyperlink ref="B90" r:id="rId70" location="/@cbus/sname:prod/journey-optimizer/journey/report/#/workspace/template/ajo-journey/bcdec3d6-9690-4399-8cce-1c945390b466" xr:uid="{17B72274-B78F-495D-B419-9A0D73821A7F}"/>
    <hyperlink ref="B91" r:id="rId71" location="/@cbus/sname:prod/journey-optimizer/journey/report/#/workspace/template/ajo-journey/bcdec3d6-9690-4399-8cce-1c945390b466" xr:uid="{C08F1CF4-F712-4502-B9D7-AB516367C6BC}"/>
    <hyperlink ref="T90" r:id="rId72" xr:uid="{09AA577A-31BB-4E89-AD1C-E223A35FAD60}"/>
    <hyperlink ref="T91" r:id="rId73" xr:uid="{720B7893-DA39-46C3-87FA-F12DA6138BED}"/>
    <hyperlink ref="B95" r:id="rId74" location="/@cbus/sname:prod/journey-optimizer/journey/report/#/workspace/template/ajo-journey/e48b4e16-bdcf-44b1-87db-8546a575ba4e" display="EOFY investment performance campaign (Microsoft HNW, SIS, Media)" xr:uid="{69BF4C00-E3BA-45B0-811B-3788561FDB24}"/>
    <hyperlink ref="B94" r:id="rId75" location="/@cbus/sname:prod/journey-optimizer/journey/report/#/workspace/template/ajo-journey/e48b4e16-bdcf-44b1-87db-8546a575ba4e" display="EOFY investment performance campaign (Microsoft HNW, SIS, Media)" xr:uid="{D7585B4B-7204-4A4E-B140-4217FD309F7E}"/>
    <hyperlink ref="B93" r:id="rId76" location="/@cbus/sname:prod/journey-optimizer/journey/report/#/workspace/template/ajo-journey/e48b4e16-bdcf-44b1-87db-8546a575ba4e" display="EOFY investment performance campaign (Microsoft HNW, SIS, Media)" xr:uid="{8256078B-EEC5-4D3C-87D3-6EDECA6A4325}"/>
    <hyperlink ref="T94" r:id="rId77" xr:uid="{BD617822-7DD4-4BC8-8F4E-3DD549DB69D2}"/>
    <hyperlink ref="T39" r:id="rId78" xr:uid="{43E542A7-EED9-47CD-A876-76D47F10BB49}"/>
    <hyperlink ref="B96" r:id="rId79" location="/@cbus/sname:prod/journey-optimizer/journey/report/#/workspace/template/ajo-journey/7e56f57e-12e2-49c0-9e51-de68fe9cf789" display="#1 - SIS Acquisition - 2025 AUG" xr:uid="{E1FC8E26-35AB-43CA-8415-357E70A82AA7}"/>
    <hyperlink ref="B98" r:id="rId80" location="/@cbus/sname:prod/journey-optimizer/journey/report/#/workspace/template/ajo-journey/bca1837c-0f90-4529-9649-68676fad5162" display="#2 - SIS Acquisition - 2025 AUG" xr:uid="{83A5C014-4EB4-4268-8408-8C349E11D7B2}"/>
    <hyperlink ref="B97" r:id="rId81" location="/@cbus/sname:prod/journey-optimizer/journey/report/#/workspace/template/ajo-journey/7e56f57e-12e2-49c0-9e51-de68fe9cf789" display="#1 - SIS Acquisition - 2025 AUG" xr:uid="{646A26CD-0D28-4643-9A18-7C11B5F2A6A6}"/>
    <hyperlink ref="B99" r:id="rId82" location="/@cbus/sname:prod/journey-optimizer/journey/report/#/workspace/template/ajo-journey/bca1837c-0f90-4529-9649-68676fad5162" display="#2 - SIS Acquisition - 2025 AUG" xr:uid="{97F55F8E-404D-4975-8457-45A84171A0DA}"/>
    <hyperlink ref="B100" r:id="rId83" location="/@cbus/sname:prod/journey-optimizer/journey/report/#/workspace/template/ajo-journey/f089ea09-6c3a-40ce-a12b-446940edf922" display="SIS Acquisition Sept 2025 - Segment 3" xr:uid="{04BC038E-0610-489D-8444-24F059E92866}"/>
    <hyperlink ref="B102" r:id="rId84" location="/@cbus/sname:prod/journey-optimizer/journey/report/#/workspace/template/ajo-journey/f089ea09-6c3a-40ce-a12b-446940edf922" display="SIS Acquisition Sept 2025 - Segment 3" xr:uid="{D5044EAD-B4FF-4896-9CE0-207234A2ACF4}"/>
    <hyperlink ref="B101" r:id="rId85" location="/@cbus/sname:prod/journey-optimizer/journey/report/#/workspace/template/ajo-journey/f089ea09-6c3a-40ce-a12b-446940edf922" display="SIS Acquisition Sept 2025 - Segment 3" xr:uid="{DE061018-F231-4EA6-B230-C6F38A03B8ED}"/>
    <hyperlink ref="B104" r:id="rId86" location="/@cbus/sname:prod/journey-optimizer/journey/report/#/workspace/template/ajo-journey/92b3dff9-2ac0-41da-8e22-ce0ba4df098d" display="SIS Acquisition Sept 2025 - Segment 4  - Cbus" xr:uid="{90DDD61B-B442-447D-BC3F-2F85AAF8535E}"/>
    <hyperlink ref="B103" r:id="rId87" location="/@cbus/sname:prod/journey-optimizer/journey/report/#/workspace/template/ajo-journey/92b3dff9-2ac0-41da-8e22-ce0ba4df098d" xr:uid="{405A91C1-FFD6-4110-8E98-F2CED007F2C4}"/>
    <hyperlink ref="T96" r:id="rId88" xr:uid="{46A4C0C5-3DA2-4EDE-9262-78B2CEC51B84}"/>
    <hyperlink ref="T97" r:id="rId89" xr:uid="{AA5FA10A-8377-4821-89EE-5352A329D287}"/>
    <hyperlink ref="T98" r:id="rId90" xr:uid="{9AA04B41-F1EE-4344-8658-C5D6B7A1AFEA}"/>
    <hyperlink ref="T99" r:id="rId91" xr:uid="{C2B27C02-626B-497A-93FB-13BB9D4DBBAC}"/>
    <hyperlink ref="T102" r:id="rId92" xr:uid="{470E4EA3-F735-46B3-B163-4B6833C6BC1E}"/>
    <hyperlink ref="T100" r:id="rId93" xr:uid="{747F63F2-3DB0-4754-92D2-72D1A8E78BE2}"/>
    <hyperlink ref="T101" r:id="rId94" xr:uid="{5F3CB8C3-A80F-4108-86AE-76AA502ED4CE}"/>
    <hyperlink ref="T103" r:id="rId95" xr:uid="{A4F27734-7717-4BB5-9DD8-C6FA10D03B1E}"/>
    <hyperlink ref="T104" r:id="rId96" xr:uid="{10110FD1-EBB0-40E1-9BB7-56E1B6C67A71}"/>
    <hyperlink ref="B134" r:id="rId97" location="/@cbus/sname:prod/journey-optimizer/journey/report/#/workspace/template/ajo-journey/c24482ca-6dff-4676-bc67-415d108359fd" display="Cbus News" xr:uid="{7B937800-2778-4DA1-909D-7AA3E2D314AE}"/>
    <hyperlink ref="B56:B57" r:id="rId98" location="/@cbus/sname:prod/journey-optimizer/journey/report/#/workspace/template/ajo-journey/c24482ca-6dff-4676-bc67-415d108359fd" display="Cbus News" xr:uid="{38AC2DFC-38D6-4B1E-8941-C0F91073E1DF}"/>
    <hyperlink ref="B138" r:id="rId99" location="/@cbus/sname:prod/journey-optimizer/journey/report/#/workspace/template/ajo-journey/c24482ca-6dff-4676-bc67-415d108359fd" display="Cbus News" xr:uid="{0EC00125-AD37-4C7E-87D0-E41A772F2C30}"/>
    <hyperlink ref="B59:B60" r:id="rId100" location="/@cbus/sname:prod/journey-optimizer/journey/report/#/workspace/template/ajo-journey/c24482ca-6dff-4676-bc67-415d108359fd" display="Cbus News" xr:uid="{9A26CB6A-49BD-4B31-A6A4-92AF61DD4285}"/>
    <hyperlink ref="B128" r:id="rId101" location="/@cbus/sname:prod/journey-optimizer/journey/report/#/workspace/template/ajo-journey/b4838304-27ee-40d6-a2c5-fbe51637f011" display="Cbus News Sep - SIS " xr:uid="{9BB6CB4F-35CC-4CCB-A023-11C2EF4DDE69}"/>
    <hyperlink ref="B127" r:id="rId102" location="/@cbus/sname:prod/journey-optimizer/journey/report/#/workspace/template/ajo-journey/b4838304-27ee-40d6-a2c5-fbe51637f011" display="Cbus News Sep - SIS " xr:uid="{0B77C253-E7F7-42DB-81B8-1D54AEBD1DE2}"/>
    <hyperlink ref="B131" r:id="rId103" location="/@cbus/sname:prod/journey-optimizer/journey/report/#/workspace/template/ajo-journey/738d4a66-5e39-4d8d-a98d-63f9d66dd930" display="News Sep" xr:uid="{CA7D616B-F1AE-40D0-8563-BC35B1028440}"/>
    <hyperlink ref="T134" r:id="rId104" xr:uid="{6CD9C4AC-521A-44D2-ABED-C9ADFE5619F9}"/>
    <hyperlink ref="T136" r:id="rId105" xr:uid="{DECC8875-831C-48D8-A401-5D8F6D6AA9A9}"/>
    <hyperlink ref="T135" r:id="rId106" xr:uid="{9694BB1C-6051-4A63-9607-0AFC686FEDAC}"/>
    <hyperlink ref="T138" r:id="rId107" xr:uid="{2AFB76FF-37CE-4C3B-8875-234DF8BBF9B9}"/>
    <hyperlink ref="T140" r:id="rId108" xr:uid="{47C5D00B-E958-478C-9509-D0B2CD2EC750}"/>
    <hyperlink ref="T139" r:id="rId109" xr:uid="{F7CD77B8-5717-48A5-9E25-F0A154195DAE}"/>
    <hyperlink ref="T128" r:id="rId110" xr:uid="{5870EC70-AFC1-4984-B63C-70E52D1997C7}"/>
    <hyperlink ref="T127" r:id="rId111" xr:uid="{2FE6564C-E9AF-47B3-BC71-8D3F9604053F}"/>
    <hyperlink ref="T131" r:id="rId112" xr:uid="{CB253886-C65A-44AD-83AA-4CB9936DC0E9}"/>
    <hyperlink ref="T146" r:id="rId113" xr:uid="{8FD3C9C1-19DD-4DE4-BFED-40C1EDDB16F1}"/>
    <hyperlink ref="B130" r:id="rId114" location="/@cbus/sname:prod/journey-optimizer/journey/report/#/workspace/template/ajo-journey/283624f3-e567-4929-b8bc-d33a9f46ea1e" xr:uid="{FC91E404-A8D6-4EA7-B93E-83446233E670}"/>
    <hyperlink ref="T130" r:id="rId115" xr:uid="{27456D55-2F72-404D-9C8B-C854698E9165}"/>
    <hyperlink ref="B129" r:id="rId116" location="/@cbus/sname:prod/journey-optimizer/journey/report/#/workspace/template/ajo-journey/6a792d2d-ca50-468a-9456-895d03fadfd6" xr:uid="{D4243DDC-749D-4275-B355-E031B567E956}"/>
    <hyperlink ref="T129" r:id="rId117" xr:uid="{081DB7BB-6798-4BBA-9CAC-132A641DD637}"/>
    <hyperlink ref="B132" r:id="rId118" location="/@cbus/sname:prod/journey-optimizer/journey/report/#/workspace/template/ajo-journey/6e06488a-6cb6-428b-9ed6-c8c73ef8b763" xr:uid="{870C6C52-B6E1-4366-9D24-2C1E9D97B15C}"/>
    <hyperlink ref="B133" r:id="rId119" location="/@cbus/sname:prod/journey-optimizer/journey/report/#/workspace/template/ajo-journey/6e06488a-6cb6-428b-9ed6-c8c73ef8b763" xr:uid="{0DBE4AED-79C9-4D1F-B6BF-0DF81DB8A6E6}"/>
    <hyperlink ref="T132" r:id="rId120" xr:uid="{E438F1A1-1B16-4AA3-9219-689FFA1E87CB}"/>
    <hyperlink ref="T133" r:id="rId121" xr:uid="{25B0C20B-7FC6-45F5-9CF8-EA12B3A78096}"/>
    <hyperlink ref="B137" r:id="rId122" location="/@cbus/sname:prod/journey-optimizer/journey/report/#/workspace/template/ajo-journey/4a7d9c16-ca7f-44aa-a2ef-4239c50d26cc" display="Cbus Advocacy Research Survey - Reminder" xr:uid="{56014A37-0DA9-4BC2-A690-FC44626B215E}"/>
    <hyperlink ref="T137" r:id="rId123" xr:uid="{084B1D27-4465-483D-85B0-F28273391DB3}"/>
    <hyperlink ref="B143" r:id="rId124" location="/@cbus/sname:prod/journey-optimizer/journey/report/#/workspace/template/ajo-journey/92edf682-d87c-422d-8e7b-bb7d146dc839" xr:uid="{E6EF1D18-86DA-462F-B890-F8805E20CCE5}"/>
    <hyperlink ref="T143" r:id="rId125" xr:uid="{20B61D8D-19A7-4A3E-A798-10CEE9AEF74B}"/>
    <hyperlink ref="B141" r:id="rId126" location="/@cbus/sname:prod/journey-optimizer/journey/report/#/workspace/template/ajo-journey/bc71c7b3-ef48-4aba-ad95-ac8cb9712109" xr:uid="{A22BAA73-5D18-498B-901E-BDD442AEF8DC}"/>
    <hyperlink ref="B142" r:id="rId127" location="/@cbus/sname:prod/journey-optimizer/journey/report/#/workspace/template/ajo-journey/bc71c7b3-ef48-4aba-ad95-ac8cb9712109" xr:uid="{1080EF57-D511-42D8-BBD2-1077C17CE1D8}"/>
    <hyperlink ref="T142" r:id="rId128" xr:uid="{DC7BC730-9C8E-42AB-B523-E4F558909582}"/>
    <hyperlink ref="T141" r:id="rId129" xr:uid="{EE104E06-0CE6-4434-87A1-BE63E2EC99FD}"/>
    <hyperlink ref="B148" r:id="rId130" location="/@cbus/sname:prod/journey-optimizer/journey/report/#/workspace/template/ajo-journey/39dddfa5-71d3-4db1-89ec-f3482f49b94b" xr:uid="{40523AEF-4573-476A-BF62-104B9F750959}"/>
    <hyperlink ref="B147" r:id="rId131" location="/@cbus/sname:prod/journey-optimizer/journey/report/#/workspace/template/ajo-journey/39dddfa5-71d3-4db1-89ec-f3482f49b94b" xr:uid="{1CF92908-8F0B-478A-A7E0-2E0D1F9C7B4F}"/>
    <hyperlink ref="T148" r:id="rId132" xr:uid="{85D8ACF6-EC7B-484B-9BEC-B0E24AEFDE3B}"/>
    <hyperlink ref="T147" r:id="rId133" xr:uid="{8ADCB61D-1BA4-4E3A-B2B6-624284BAD8AF}"/>
    <hyperlink ref="B10" r:id="rId134" location="/@cbus/sname:prod/journey-optimizer/journey/report/#/workspace/template/ajo-journey/d7209149-fde7-4ac2-84e6-07fd80500573" display="Beneficiaries - Seg 1 -New member -  Automated July" xr:uid="{28B25AE9-4F7D-4F1B-9862-3D666289805E}"/>
    <hyperlink ref="B8" r:id="rId135" location="/@cbus/sname:prod/journey-optimizer/journey/report/#/workspace/template/ajo-journey/d7209149-fde7-4ac2-84e6-07fd80500573" display="Beneficiaries - Seg 1 -New member -  Automated July" xr:uid="{AA7C2E3C-4422-4951-8708-469C474A105B}"/>
    <hyperlink ref="B149" r:id="rId136" location="/@cbus/sname:prod/journey-optimizer/journey/report/#/workspace/template/ajo-journey/35d680d6-e62b-40a2-98e9-8980addab421" xr:uid="{A11CCE1F-CB08-4EF8-8E6D-31B3422A7288}"/>
    <hyperlink ref="B150" r:id="rId137" location="/@cbus/sname:prod/journey-optimizer/journey/report/#/workspace/template/ajo-journey/35d680d6-e62b-40a2-98e9-8980addab421" xr:uid="{DCE34DA4-0432-4EDF-9782-2526B7BF935B}"/>
    <hyperlink ref="B156" r:id="rId138" location="/@cbus/sname:prod/journey-optimizer/journey/report/#/workspace/template/ajo-journey/3cbde0fd-ec21-4c5d-bbac-0292e906b9e5" display="Age Pension - 57 Years - Automated Sep Report" xr:uid="{1832F64D-AA22-48DF-AC5C-5140E44E7706}"/>
    <hyperlink ref="B155" r:id="rId139" location="/@cbus/sname:prod/journey-optimizer/journey/report/#/workspace/template/ajo-journey/3cbde0fd-ec21-4c5d-bbac-0292e906b9e5" display="Age Pension - 57 Years - Automated Sep Report" xr:uid="{5551D050-087E-4390-B182-1616970EBD76}"/>
    <hyperlink ref="B154" r:id="rId140" location="/@cbus/sname:prod/journey-optimizer/journey/report/#/workspace/template/ajo-journey/3cbde0fd-ec21-4c5d-bbac-0292e906b9e5" display="Age Pension - 57 Years - Automated Sep Report" xr:uid="{E4B7E407-4979-4D35-B801-225F790EB799}"/>
    <hyperlink ref="B153" r:id="rId141" location="/@cbus/sname:prod/journey-optimizer/journey/report/#/workspace/template/ajo-journey/3cbde0fd-ec21-4c5d-bbac-0292e906b9e5" xr:uid="{CAAF221F-68B7-4199-A185-2DFB46FF1094}"/>
    <hyperlink ref="T156" r:id="rId142" xr:uid="{D9BF2647-E109-4CB9-81F1-ECD9D09437EB}"/>
    <hyperlink ref="T155" r:id="rId143" xr:uid="{2A3BE898-28E3-468E-A841-818E5F0AC324}"/>
    <hyperlink ref="T153" r:id="rId144" xr:uid="{D1171090-F3DC-47A0-9B84-7511891F333E}"/>
    <hyperlink ref="T154" r:id="rId145" xr:uid="{1C6F57FC-CDBA-4341-9E63-EE9913F028E3}"/>
    <hyperlink ref="B145" r:id="rId146" location="/@cbus/sname:prod/journey-optimizer/journey/report/#/workspace/template/ajo-journey/23e4f381-4c2b-457e-b600-83d098bf6354" display="Data Capture [Sept 2025] - Automated Sep Report" xr:uid="{E9FC87C5-54F7-4CB8-A7F8-DDFE177EAD5D}"/>
    <hyperlink ref="B144" r:id="rId147" location="/@cbus/sname:prod/journey-optimizer/journey/report/#/workspace/template/ajo-journey/23e4f381-4c2b-457e-b600-83d098bf6354" display="Data Capture [Sept 2025] - Automated Sep Report" xr:uid="{7F2080F1-684A-44B5-AEDD-4D722FE1D052}"/>
    <hyperlink ref="B19" r:id="rId148" location="/@cbus/sname:prod/journey-optimizer/journey/report/#/workspace/template/ajo-journey/8358282e-963a-4b3a-95a3-3c1846825c9c" xr:uid="{27E0F2FA-FCF6-4E8E-B98F-EF542BEBBEF3}"/>
    <hyperlink ref="B17" r:id="rId149" location="/@cbus/sname:prod/journey-optimizer/journey/report/#/workspace/template/ajo-journey/8358282e-963a-4b3a-95a3-3c1846825c9c" xr:uid="{2D35048C-FB26-4FC3-AD9B-C97FE93800FE}"/>
    <hyperlink ref="B67" r:id="rId150" location="/@cbus/sname:prod/journey-optimizer/journey/report/#/workspace/template/ajo-journey/8358282e-963a-4b3a-95a3-3c1846825c9c" display="PYS 9 Months - Automated July Report" xr:uid="{EB3AA57A-A898-4CA4-B7CE-499CA3EFE349}"/>
    <hyperlink ref="B65" r:id="rId151" location="/@cbus/sname:prod/journey-optimizer/journey/report/#/workspace/template/ajo-journey/8358282e-963a-4b3a-95a3-3c1846825c9c" display="PYS 9 Months - Automated July Report" xr:uid="{D41E71F9-B333-4537-B969-C54B32BAE73F}"/>
    <hyperlink ref="B117" r:id="rId152" location="/@cbus/sname:prod/journey-optimizer/journey/report/#/workspace/template/ajo-journey/8358282e-963a-4b3a-95a3-3c1846825c9c" display="PYS 9 Months - Automated July Report" xr:uid="{EB538D88-BD66-4D15-8B44-94A62534326E}"/>
    <hyperlink ref="B115" r:id="rId153" location="/@cbus/sname:prod/journey-optimizer/journey/report/#/workspace/template/ajo-journey/8358282e-963a-4b3a-95a3-3c1846825c9c" display="PYS 9 Months - Automated July Report" xr:uid="{F66AD42F-5AC0-484A-B6EA-FAD1DA7827F8}"/>
    <hyperlink ref="B58" r:id="rId154" location="/@cbus/sname:prod/journey-optimizer/journey/report/#/workspace/template/ajo-journey/d7209149-fde7-4ac2-84e6-07fd80500573" display="Beneficiaries - Seg 1 -New member -  Automated July" xr:uid="{42560414-F49E-43C7-8271-AF9D9065FC22}"/>
    <hyperlink ref="B56" r:id="rId155" location="/@cbus/sname:prod/journey-optimizer/journey/report/#/workspace/template/ajo-journey/d7209149-fde7-4ac2-84e6-07fd80500573" display="Beneficiaries - Seg 1 -New member -  Automated July" xr:uid="{630C694F-30D3-49D8-901D-9014C09E771E}"/>
    <hyperlink ref="B111" r:id="rId156" location="/@cbus/sname:prod/journey-optimizer/journey/report/#/workspace/template/ajo-journey/d7209149-fde7-4ac2-84e6-07fd80500573" display="Beneficiaries - Seg 1 -New member -  Automated July" xr:uid="{4C5DDE7F-9FA5-4B76-A6CD-769F71F5FD65}"/>
    <hyperlink ref="B109" r:id="rId157" location="/@cbus/sname:prod/journey-optimizer/journey/report/#/workspace/template/ajo-journey/d7209149-fde7-4ac2-84e6-07fd80500573" display="Beneficiaries - Seg 1 -New member -  Automated July" xr:uid="{B9C8B1AB-780B-4793-9196-135A5E0C864A}"/>
    <hyperlink ref="B20" r:id="rId158" location="/@cbus/sname:prod/journey-optimizer/journey/report/#/workspace/template/ajo-journey/a7179232-e11e-42a4-af3e-d7e193714354" xr:uid="{12E37414-18DA-4186-953F-E5BB530749D2}"/>
    <hyperlink ref="B18" r:id="rId159" location="/@cbus/sname:prod/journey-optimizer/journey/report/#/workspace/template/ajo-journey/a7179232-e11e-42a4-af3e-d7e193714354" xr:uid="{CC6FF5ED-2C39-4774-8245-22A540324AF4}"/>
    <hyperlink ref="B68" r:id="rId160" location="/@cbus/sname:prod/journey-optimizer/journey/report/#/workspace/template/ajo-journey/a7179232-e11e-42a4-af3e-d7e193714354" display="PYS 5 Months - Automated July Report" xr:uid="{3F5521B6-AE14-4530-8B2D-098986E3A2B6}"/>
    <hyperlink ref="B66" r:id="rId161" location="/@cbus/sname:prod/journey-optimizer/journey/report/#/workspace/template/ajo-journey/a7179232-e11e-42a4-af3e-d7e193714354" display="PYS 5 Months - Automated July Report" xr:uid="{9859A856-288D-4DBC-8259-0125513EFDD6}"/>
    <hyperlink ref="B118" r:id="rId162" location="/@cbus/sname:prod/journey-optimizer/journey/report/#/workspace/template/ajo-journey/a7179232-e11e-42a4-af3e-d7e193714354" display="PYS 5 Months - Automated July Report" xr:uid="{DB4E5029-79AB-4B71-BB4B-DA93872E2665}"/>
    <hyperlink ref="B116" r:id="rId163" location="/@cbus/sname:prod/journey-optimizer/journey/report/#/workspace/template/ajo-journey/a7179232-e11e-42a4-af3e-d7e193714354" display="PYS 5 Months - Automated July Report" xr:uid="{4EB3C59B-5AB6-4FF8-B394-0FBEACB9DDAE}"/>
    <hyperlink ref="B24" r:id="rId164" location="/@cbus/sname:prod/journey-optimizer/journey/report/#/workspace/template/ajo-journey/cbafab5a-039f-4e19-b165-5c9aea855168" xr:uid="{8BDBBCFB-BFC4-4713-A665-959D3FD8D405}"/>
    <hyperlink ref="B22" r:id="rId165" location="/@cbus/sname:prod/journey-optimizer/journey/report/#/workspace/template/ajo-journey/cbafab5a-039f-4e19-b165-5c9aea855168" display="Consolidation - 90 days -  Automated July Report" xr:uid="{125CAE76-D66F-46FB-B45A-FC734E3F3C0F}"/>
    <hyperlink ref="B23" r:id="rId166" location="/@cbus/sname:prod/journey-optimizer/journey/report/#/workspace/template/ajo-journey/cbafab5a-039f-4e19-b165-5c9aea855168" xr:uid="{3619D2E3-049C-495C-99BB-B7C888CBD763}"/>
    <hyperlink ref="B21" r:id="rId167" location="/@cbus/sname:prod/journey-optimizer/journey/report/#/workspace/template/ajo-journey/cbafab5a-039f-4e19-b165-5c9aea855168" display="Consolidation - 90 days -  Automated July Report" xr:uid="{1D577D2E-861C-4F9B-B487-F3C44378483F}"/>
    <hyperlink ref="B72" r:id="rId168" location="/@cbus/sname:prod/journey-optimizer/journey/report/#/workspace/template/ajo-journey/cbafab5a-039f-4e19-b165-5c9aea855168" display="Consolidation - 90 days -  Automated July Report" xr:uid="{A5D81D22-5636-4694-8806-92C57FC44478}"/>
    <hyperlink ref="B70" r:id="rId169" location="/@cbus/sname:prod/journey-optimizer/journey/report/#/workspace/template/ajo-journey/cbafab5a-039f-4e19-b165-5c9aea855168" display="Consolidation - 90 days -  Automated July Report" xr:uid="{23943098-0279-488F-824B-7FBEBCADBD15}"/>
    <hyperlink ref="B71" r:id="rId170" location="/@cbus/sname:prod/journey-optimizer/journey/report/#/workspace/template/ajo-journey/cbafab5a-039f-4e19-b165-5c9aea855168" display="Consolidation - 90 days -  Automated July Report" xr:uid="{D5B8960F-D042-464A-9468-EE2A6715192E}"/>
    <hyperlink ref="B69" r:id="rId171" location="/@cbus/sname:prod/journey-optimizer/journey/report/#/workspace/template/ajo-journey/cbafab5a-039f-4e19-b165-5c9aea855168" display="Consolidation - 90 days -  Automated July Report" xr:uid="{7BF59EAE-4D48-4039-9E0B-0DFB48AB37AF}"/>
    <hyperlink ref="B122" r:id="rId172" location="/@cbus/sname:prod/journey-optimizer/journey/report/#/workspace/template/ajo-journey/cbafab5a-039f-4e19-b165-5c9aea855168" display="Consolidation - 90 days -  Automated July Report" xr:uid="{2B962197-19D1-46CC-9BAF-5E58E2AB29B2}"/>
    <hyperlink ref="B120" r:id="rId173" location="/@cbus/sname:prod/journey-optimizer/journey/report/#/workspace/template/ajo-journey/cbafab5a-039f-4e19-b165-5c9aea855168" display="Consolidation - 90 days -  Automated July Report" xr:uid="{EDE737E6-545A-4CDA-A2C9-5AAA815C1912}"/>
    <hyperlink ref="B121" r:id="rId174" location="/@cbus/sname:prod/journey-optimizer/journey/report/#/workspace/template/ajo-journey/cbafab5a-039f-4e19-b165-5c9aea855168" display="Consolidation - 90 days -  Automated July Report" xr:uid="{5C87BAEB-6361-4F87-84AE-35BB546650AA}"/>
    <hyperlink ref="B119" r:id="rId175" location="/@cbus/sname:prod/journey-optimizer/journey/report/#/workspace/template/ajo-journey/cbafab5a-039f-4e19-b165-5c9aea855168" display="Consolidation - 90 days -  Automated July Report" xr:uid="{6DE5DBBD-4BC9-44A4-B8A1-2CF44A270889}"/>
    <hyperlink ref="B16" r:id="rId176" location="/@cbus/sname:prod/journey-optimizer/journey/report/#/workspace/template/ajo-journey/ae73d654-f7fb-4218-a985-79965ed53f32" xr:uid="{4E214E15-DE76-4DFE-9E45-6AD2D4EB2924}"/>
    <hyperlink ref="B15" r:id="rId177" location="/@cbus/sname:prod/journey-optimizer/journey/report/#/workspace/template/ajo-journey/ae73d654-f7fb-4218-a985-79965ed53f32" xr:uid="{AED23E82-24D9-4339-8455-882C9F4B745E}"/>
    <hyperlink ref="B64" r:id="rId178" location="/@cbus/sname:prod/journey-optimizer/journey/report/#/workspace/template/ajo-journey/ae73d654-f7fb-4218-a985-79965ed53f32" display="Downsizer - 73 yrs - Automated July Report" xr:uid="{0BFB927B-249A-4940-A13D-459D0CEDCFCC}"/>
    <hyperlink ref="B63" r:id="rId179" location="/@cbus/sname:prod/journey-optimizer/journey/report/#/workspace/template/ajo-journey/ae73d654-f7fb-4218-a985-79965ed53f32" display="Downsizer - 55 yrs - Automated July Report" xr:uid="{441AFB7D-5AC3-460E-9FDB-A402F12EA1F9}"/>
    <hyperlink ref="B114" r:id="rId180" location="/@cbus/sname:prod/journey-optimizer/journey/report/#/workspace/template/ajo-journey/ae73d654-f7fb-4218-a985-79965ed53f32" display="Downsizer - 73 yrs - Automated July Report" xr:uid="{99C1F603-EAF1-42FF-B65D-AA1818836699}"/>
    <hyperlink ref="B113" r:id="rId181" location="/@cbus/sname:prod/journey-optimizer/journey/report/#/workspace/template/ajo-journey/ae73d654-f7fb-4218-a985-79965ed53f32" display="Downsizer - 55 yrs - Automated July Report" xr:uid="{FE3BD79E-85F1-491C-8D3E-1034584CB3F9}"/>
    <hyperlink ref="B13" r:id="rId182" location="/@cbus/sname:prod/journey-optimizer/journey/report/#/workspace/template/ajo-journey/89e3bf9a-c9fc-4381-a3e2-79ec60962cf0" xr:uid="{B1FAE406-F381-468A-A121-6A14BFBBC2B4}"/>
    <hyperlink ref="B12" r:id="rId183" location="/@cbus/sname:prod/journey-optimizer/journey/report/#/workspace/template/ajo-journey/89e3bf9a-c9fc-4381-a3e2-79ec60962cf0" display="12 Month Check in - 35+ Rolled in - Automated July Report" xr:uid="{15C78881-B4D5-4750-85F7-75235480710A}"/>
    <hyperlink ref="B14" r:id="rId184" location="/@cbus/sname:prod/journey-optimizer/journey/report/#/workspace/template/ajo-journey/89e3bf9a-c9fc-4381-a3e2-79ec60962cf0" display="12 Month Check in - 35+ Rolled in - Automated July Report" xr:uid="{B2C0EA31-5D5E-4F34-8222-B138CD8575F3}"/>
    <hyperlink ref="B61" r:id="rId185" location="/@cbus/sname:prod/journey-optimizer/journey/report/#/workspace/template/ajo-journey/89e3bf9a-c9fc-4381-a3e2-79ec60962cf0" display="12 Month Check in - 35+ Rolled in - Automated July Report" xr:uid="{FB526AFF-EB93-4185-BEAD-58B030C61417}"/>
    <hyperlink ref="B60" r:id="rId186" location="/@cbus/sname:prod/journey-optimizer/journey/report/#/workspace/template/ajo-journey/89e3bf9a-c9fc-4381-a3e2-79ec60962cf0" display="12 Month Check in - 35+ Rolled in - Automated July Report" xr:uid="{1B22B47B-D362-437F-B489-CDB4A84B1907}"/>
    <hyperlink ref="B62" r:id="rId187" location="/@cbus/sname:prod/journey-optimizer/journey/report/#/workspace/template/ajo-journey/89e3bf9a-c9fc-4381-a3e2-79ec60962cf0" display="12 Month Check in - 35+ Rolled in - Automated July Report" xr:uid="{C05B998E-F0FE-496D-B2C8-450D8EB2672F}"/>
    <hyperlink ref="B9" r:id="rId188" location="/@cbus/sname:prod/journey-optimizer/journey/report/#/workspace/template/ajo-journey/785d6f2f-8292-422a-9833-2d2802ca7fa1" display="Beneficiaries [Seg 4 - Lapsed binding] - Automated July Report" xr:uid="{0CA9DB7A-5DE6-452A-8CB3-F20C06315E06}"/>
    <hyperlink ref="B11" r:id="rId189" location="/@cbus/sname:prod/journey-optimizer/journey/report/#/workspace/template/ajo-journey/785d6f2f-8292-422a-9833-2d2802ca7fa1" display="Beneficiaries [Seg 4 - Lapsed binding] - Automated July Report" xr:uid="{FE6B901D-0D16-431F-8C51-9CE0824E3064}"/>
    <hyperlink ref="B57" r:id="rId190" location="/@cbus/sname:prod/journey-optimizer/journey/report/#/workspace/template/ajo-journey/785d6f2f-8292-422a-9833-2d2802ca7fa1" display="Beneficiaries [Seg 4 - Lapsed binding] - Automated July Report" xr:uid="{19B4DAE4-040E-444D-8B65-D0E66357FAB2}"/>
    <hyperlink ref="B59" r:id="rId191" location="/@cbus/sname:prod/journey-optimizer/journey/report/#/workspace/template/ajo-journey/785d6f2f-8292-422a-9833-2d2802ca7fa1" display="Beneficiaries [Seg 4 - Lapsed binding] - Automated July Report" xr:uid="{019D1434-A514-4D5C-B0C1-90835588A6BA}"/>
    <hyperlink ref="B110" r:id="rId192" location="/@cbus/sname:prod/journey-optimizer/journey/report/#/workspace/template/ajo-journey/785d6f2f-8292-422a-9833-2d2802ca7fa1" display="Beneficiaries [Seg 4 - Lapsed binding] - Automated July Report" xr:uid="{29BA7AE2-D727-48C5-8BB6-F40AEBA48DDC}"/>
    <hyperlink ref="B112" r:id="rId193" location="/@cbus/sname:prod/journey-optimizer/journey/report/#/workspace/template/ajo-journey/785d6f2f-8292-422a-9833-2d2802ca7fa1" display="Beneficiaries [Seg 4 - Lapsed binding] - Automated July Report" xr:uid="{3E1AF050-766A-4059-9A07-A3D2C43040BF}"/>
    <hyperlink ref="B6" r:id="rId194" location="/@cbus/sname:prod/journey-optimizer/journey/report/#/workspace/template/ajo-journey/df53f790-6392-4a01-a73f-f23a41796609" display="PYS 12 Months - Automated July Report" xr:uid="{B8C16EF4-1EB0-439E-9931-8CCBEBB7434F}"/>
    <hyperlink ref="B7" r:id="rId195" location="/@cbus/sname:prod/journey-optimizer/journey/report/#/workspace/template/ajo-journey/df53f790-6392-4a01-a73f-f23a41796609" display="PYS 12 Months - Automated July Report" xr:uid="{F8F9A670-BB32-4D63-A566-5C5D144A68A4}"/>
    <hyperlink ref="B133:B136" r:id="rId196" location="/@cbus/sname:prod/journey-optimizer/journey/report/#/workspace/template/ajo-journey/df53f790-6392-4a01-a73f-f23a41796609" display="PYS 12 Months - Automated July Report" xr:uid="{5A57F3AC-8F37-4AA2-AEC3-D228861D25E1}"/>
    <hyperlink ref="B5" r:id="rId197" location="/@cbus/sname:prod/journey-optimizer/journey/report/#/workspace/template/ajo-journey/e518a319-9c52-4d1e-8c54-5a5bac7e98c1" display="SPC" xr:uid="{BE4B61FC-D27B-4CD6-9DCB-597D9B237175}"/>
    <hyperlink ref="B53" r:id="rId198" location="/@cbus/sname:prod/journey-optimizer/journey/report/#/workspace/template/ajo-journey/e518a319-9c52-4d1e-8c54-5a5bac7e98c1" display="SPC" xr:uid="{7C1DD57D-0992-4981-92FB-393607C4E760}"/>
    <hyperlink ref="B106" r:id="rId199" location="/@cbus/sname:prod/journey-optimizer/journey/report/#/workspace/template/ajo-journey/e518a319-9c52-4d1e-8c54-5a5bac7e98c1" display="SPC" xr:uid="{4724CBB6-757A-4570-AC13-3FD363F876BC}"/>
    <hyperlink ref="B2" r:id="rId200" location="/@cbus/sname:prod/journey-optimizer/journey/report/#/workspace/template/ajo-journey/1428586f-9ad2-4562-8874-284efe3c0c8d" xr:uid="{FC6E80E8-E09B-4E1C-800C-92FA7943F72B}"/>
    <hyperlink ref="B141:B142" r:id="rId201" location="/@cbus/sname:prod/journey-optimizer/journey/report/#/workspace/template/ajo-journey/1428586f-9ad2-4562-8874-284efe3c0c8d" display="Abandoned  Cart MJOL" xr:uid="{89E7B679-7362-475D-98BE-25F1829C350A}"/>
    <hyperlink ref="T19" r:id="rId202" xr:uid="{1ABD2676-EB8A-4847-847A-4104CD4746DF}"/>
    <hyperlink ref="B151" r:id="rId203" location="/@cbus/sname:prod/journey-optimizer/journey/report/#/workspace/template/ajo-journey/bd610eaf-020d-4ee0-8920-be3e08a37a25" xr:uid="{DEABCB06-B632-461D-84C6-F06A70FA9619}"/>
    <hyperlink ref="B152" r:id="rId204" location="/@cbus/sname:prod/journey-optimizer/journey/report/#/workspace/template/ajo-journey/3df19f42-c622-481a-a0cc-b64ea8f94164" display="Cbus - 2025 Statements - SIS" xr:uid="{8C7106E8-B2C7-4073-98E2-6BD22D598D4F}"/>
    <hyperlink ref="T152" r:id="rId205" xr:uid="{46704411-4366-4503-871A-63C62D6F5CDF}"/>
    <hyperlink ref="T151" r:id="rId206" xr:uid="{35617BE4-D51B-4C42-BCBC-A3326810417E}"/>
    <hyperlink ref="B157" r:id="rId207" location="/@cbus/sname:prod/journey-optimizer/journey/report/#/workspace/template/ajo-journey/df121502-9927-4eed-8a89-998f44dfe2cb" xr:uid="{4C7035C0-55DC-42DB-BC1A-1724968D036A}"/>
    <hyperlink ref="B158" r:id="rId208" location="/@cbus/sname:prod/journey-optimizer/journey/report/#/workspace/template/ajo-journey/df121502-9927-4eed-8a89-998f44dfe2cb" xr:uid="{D51BF1B3-CB4F-4C37-97E4-0E8A747D3371}"/>
    <hyperlink ref="T157" r:id="rId209" xr:uid="{6D9DC780-9CDA-4D3F-B56F-0677CA3C5FB2}"/>
    <hyperlink ref="T158" r:id="rId210" xr:uid="{E660BB65-5617-4FC2-B761-2C921DC44FB7}"/>
    <hyperlink ref="B124" r:id="rId211" location="/@cbus/sname:prod/journey-optimizer/journey/report/#/workspace/template/ajo-journey/8c062c79-30ff-4ef1-80d7-e40490c50fab" display="Data Capture- Accum - [Pre 15 Sept 2025]" xr:uid="{787E3B42-1A34-460D-BCBD-6D1DEBA1028A}"/>
    <hyperlink ref="B123" r:id="rId212" location="/@cbus/sname:prod/journey-optimizer/journey/report/#/workspace/template/ajo-journey/8c062c79-30ff-4ef1-80d7-e40490c50fab" xr:uid="{CAB5B92A-46CB-4743-B631-1BDD2851A0CE}"/>
    <hyperlink ref="B74" r:id="rId213" location="/@cbus/sname:prod/journey-optimizer/journey/report/#/workspace/template/ajo-journey/8c062c79-30ff-4ef1-80d7-e40490c50fab" display="Data Capture- Accum - [Pre 15 Sept 2025]" xr:uid="{95384588-A5DD-422B-8251-86A1E34F35E7}"/>
    <hyperlink ref="B73" r:id="rId214" location="/@cbus/sname:prod/journey-optimizer/journey/report/#/workspace/template/ajo-journey/8c062c79-30ff-4ef1-80d7-e40490c50fab" display="Data Capture- Accum - [Pre 15 Sept 2025]" xr:uid="{690ACB40-AD80-4398-88D6-EF31DB93FD07}"/>
    <hyperlink ref="B26" r:id="rId215" location="/@cbus/sname:prod/journey-optimizer/journey/report/#/workspace/template/ajo-journey/8c062c79-30ff-4ef1-80d7-e40490c50fab" display="Data Capture- Accum - [Pre 15 Sept 2025]" xr:uid="{ACA5534A-56E5-44DB-8EBF-E9C689DD70E6}"/>
    <hyperlink ref="B25" r:id="rId216" location="/@cbus/sname:prod/journey-optimizer/journey/report/#/workspace/template/ajo-journey/8c062c79-30ff-4ef1-80d7-e40490c50fab" display="Data Capture- Accum - [Pre 15 Sept 2025]" xr:uid="{8FEB3484-B05E-47F9-99FD-554CD58C3EA1}"/>
    <hyperlink ref="B126" r:id="rId217" location="/@cbus/sname:prod/journey-optimizer/journey/report/#/workspace/template/ajo-journey/6c2633f2-243d-40d9-b2d1-214cd45324a9" xr:uid="{403A0435-2A6E-4B4F-AB1E-59A9DD3D7421}"/>
    <hyperlink ref="B125" r:id="rId218" location="/@cbus/sname:prod/journey-optimizer/journey/report/#/workspace/template/ajo-journey/6c2633f2-243d-40d9-b2d1-214cd45324a9" xr:uid="{70EDC27F-2DC1-4DB6-8815-947052CC4758}"/>
    <hyperlink ref="B76" r:id="rId219" location="/@cbus/sname:prod/journey-optimizer/journey/report/#/workspace/template/ajo-journey/6c2633f2-243d-40d9-b2d1-214cd45324a9" display="6 Month Tenure [Pre 17 Sep 2025]" xr:uid="{BAACE1B3-18DD-40D4-B9D4-9C9FFC7032EA}"/>
    <hyperlink ref="B75" r:id="rId220" location="/@cbus/sname:prod/journey-optimizer/journey/report/#/workspace/template/ajo-journey/6c2633f2-243d-40d9-b2d1-214cd45324a9" display="6 Month Tenure [Pre 17 Sept 2025]" xr:uid="{90BD2120-2520-423A-878B-E4198EC602E4}"/>
    <hyperlink ref="B157:B158" r:id="rId221" location="/@cbus/sname:prod/journey-optimizer/journey/report/#/workspace/template/ajo-journey/6c2633f2-243d-40d9-b2d1-214cd45324a9" display="6 Month Tenure [Pre 17 Sept 2025]" xr:uid="{011C95CE-D787-4DFF-A58A-52BB55F1A47F}"/>
    <hyperlink ref="B161" r:id="rId222" location="/@cbus/sname:prod/journey-optimizer/journey/report/#/workspace/template/ajo-journey/9efc2441-6827-4717-9013-680afb8db7de" xr:uid="{95F5B5C6-E7F9-4F03-BCC3-72C6C47E693A}"/>
    <hyperlink ref="B162" r:id="rId223" location="/@cbus/sname:prod/journey-optimizer/journey/report/#/workspace/template/ajo-journey/9efc2441-6827-4717-9013-680afb8db7de" xr:uid="{0A3ED4AD-923A-41AB-8AA4-552B42BFBC3C}"/>
    <hyperlink ref="B163" r:id="rId224" location="/@cbus/sname:prod/journey-optimizer/journey/report/#/workspace/template/ajo-journey/745dc927-64df-462b-8819-760afc248605" xr:uid="{9CD36ECF-BF41-4F3E-9C75-670618C667D2}"/>
    <hyperlink ref="B164" r:id="rId225" location="/@cbus/sname:prod/journey-optimizer/journey/report/#/workspace/template/ajo-journey/745dc927-64df-462b-8819-760afc248605" xr:uid="{3851E138-F07F-4299-82F1-CDACC7AB2D4F}"/>
    <hyperlink ref="T161" r:id="rId226" xr:uid="{F2675824-1A9F-49D9-A78F-51A609CB7E9D}"/>
    <hyperlink ref="T162" r:id="rId227" xr:uid="{76235692-6651-4E03-9AAE-80F4C54EA185}"/>
    <hyperlink ref="T164" r:id="rId228" xr:uid="{B292C362-9C06-4B60-942C-245AE8714903}"/>
    <hyperlink ref="T163" r:id="rId229" xr:uid="{EF137438-E2BA-480C-9EEA-2E208B2FF391}"/>
    <hyperlink ref="B160" r:id="rId230" location="/@cbus/sname:prod/journey-optimizer/journey/report/#/workspace/template/ajo-journey/d7209149-fde7-4ac2-84e6-07fd80500573" display="Beneficiaries - Seg 1 -New member -  Automated July" xr:uid="{594850D2-A800-4945-A1A3-7601E7DFC5BA}"/>
    <hyperlink ref="B159" r:id="rId231" location="/@cbus/sname:prod/journey-optimizer/journey/report/#/workspace/template/ajo-journey/d7209149-fde7-4ac2-84e6-07fd80500573" display="Beneficiaries - Seg 1 -New member -  Automated July" xr:uid="{B56A7C75-F3A7-41B8-AB09-941E011BBE2B}"/>
    <hyperlink ref="B165" r:id="rId232" location="/@cbus/sname:prod/journey-optimizer/journey/report/#/workspace/template/ajo-journey/d7209149-fde7-4ac2-84e6-07fd80500573" xr:uid="{EC7A412D-E0CD-473A-92EC-8B71EC598FC0}"/>
    <hyperlink ref="B166" r:id="rId233" location="/@cbus/sname:prod/journey-optimizer/journey/report/#/workspace/template/ajo-journey/d7209149-fde7-4ac2-84e6-07fd80500573" xr:uid="{5B6183F1-E7D9-4E23-8A1E-85D2D04FC441}"/>
    <hyperlink ref="B167" r:id="rId234" location="/@cbus/sname:prod/journey-optimizer/journey/report/#/workspace/template/ajo-journey/8358282e-963a-4b3a-95a3-3c1846825c9c" xr:uid="{B402C10B-4B83-4737-83E5-8CFA813ECEB4}"/>
    <hyperlink ref="B168" r:id="rId235" location="/@cbus/sname:prod/journey-optimizer/journey/report/#/workspace/template/ajo-journey/8358282e-963a-4b3a-95a3-3c1846825c9c" xr:uid="{37A7B1A0-5954-4F69-A396-24AAA969F4E7}"/>
    <hyperlink ref="B169" r:id="rId236" location="/@cbus/sname:prod/journey-optimizer/journey/report/#/workspace/template/ajo-journey/a7179232-e11e-42a4-af3e-d7e193714354" xr:uid="{B18BF7CB-5575-459F-973A-30561B8958FE}"/>
    <hyperlink ref="B170" r:id="rId237" location="/@cbus/sname:prod/journey-optimizer/journey/report/#/workspace/template/ajo-journey/a7179232-e11e-42a4-af3e-d7e193714354" xr:uid="{9D326E37-133E-4777-A180-AD1C95B3D1D2}"/>
    <hyperlink ref="B171" r:id="rId238" location="/@cbus/sname:prod/journey-optimizer/journey/report/#/workspace/template/ajo-journey/cbafab5a-039f-4e19-b165-5c9aea855168" xr:uid="{F245AA5F-1AE2-4629-900B-0CB71BF249ED}"/>
    <hyperlink ref="B172" r:id="rId239" location="/@cbus/sname:prod/journey-optimizer/journey/report/#/workspace/template/ajo-journey/cbafab5a-039f-4e19-b165-5c9aea855168" xr:uid="{D5E69B1E-2DD7-48B4-A931-6A46F1D52FE4}"/>
    <hyperlink ref="B173" r:id="rId240" location="/@cbus/sname:prod/journey-optimizer/journey/report/#/workspace/template/ajo-journey/cbafab5a-039f-4e19-b165-5c9aea855168" xr:uid="{AE17125C-908A-451D-BAB3-78150075D391}"/>
    <hyperlink ref="B174" r:id="rId241" location="/@cbus/sname:prod/journey-optimizer/journey/report/#/workspace/template/ajo-journey/cbafab5a-039f-4e19-b165-5c9aea855168" xr:uid="{FCDBE11B-CC1D-44AE-BAC3-6BF06E4A6EEB}"/>
    <hyperlink ref="B175" r:id="rId242" location="/@cbus/sname:prod/journey-optimizer/journey/report/#/workspace/template/ajo-journey/ae73d654-f7fb-4218-a985-79965ed53f32" xr:uid="{F6A1F5A1-0BCA-4C33-AB46-BD7106ACD0A6}"/>
    <hyperlink ref="B176" r:id="rId243" location="/@cbus/sname:prod/journey-optimizer/journey/report/#/workspace/template/ajo-journey/ae73d654-f7fb-4218-a985-79965ed53f32" xr:uid="{5D070645-C605-48A6-B30A-545539E44075}"/>
    <hyperlink ref="B177" r:id="rId244" location="/@cbus/sname:prod/journey-optimizer/journey/report/#/workspace/template/ajo-journey/785d6f2f-8292-422a-9833-2d2802ca7fa1" xr:uid="{3D07B372-B516-4FA3-97CF-D7FA84A3AC31}"/>
    <hyperlink ref="B178" r:id="rId245" location="/@cbus/sname:prod/journey-optimizer/journey/report/#/workspace/template/ajo-journey/785d6f2f-8292-422a-9833-2d2802ca7fa1" xr:uid="{9314BA9B-E354-4D3D-B37D-28863CF949C0}"/>
    <hyperlink ref="B181" r:id="rId246" location="/@cbus/sname:prod/journey-optimizer/journey/report/#/workspace/template/ajo-journey/e518a319-9c52-4d1e-8c54-5a5bac7e98c1" xr:uid="{F0EF1DE0-C482-4FE6-A769-98A5CF368ADF}"/>
    <hyperlink ref="B183" r:id="rId247" location="/@cbus/sname:prod/journey-optimizer/journey/report/#/workspace/template/ajo-journey/35d680d6-e62b-40a2-98e9-8980addab421" display="6 Month Tenure [Pre 17 Sep 2025]" xr:uid="{560F601D-574D-4934-AD09-006713AC4CDC}"/>
    <hyperlink ref="B191" r:id="rId248" location="/@cbus/sname:prod/journey-optimizer/journey/report/#/workspace/template/ajo-journey/9efc2441-6827-4717-9013-680afb8db7de" xr:uid="{96C74F20-FE6A-40F8-AA31-5644008F3617}"/>
    <hyperlink ref="T191" r:id="rId249" xr:uid="{D8F82DA6-CC4A-493E-A6B4-B86927821944}"/>
    <hyperlink ref="B192" r:id="rId250" location="/@cbus/sname:prod/journey-optimizer/journey/report/#/workspace/template/ajo-journey/9efc2441-6827-4717-9013-680afb8db7de" xr:uid="{B1D0FF54-7018-42C6-B8F9-A5E1BF28F722}"/>
    <hyperlink ref="T192" r:id="rId251" xr:uid="{6AE8FEA1-47CB-4F24-B9A5-5E882E21AC38}"/>
    <hyperlink ref="B193" r:id="rId252" location="/@cbus/sname:prod/journey-optimizer/journey/report/#/workspace/template/ajo-journey/745dc927-64df-462b-8819-760afc248605" xr:uid="{8A9343BC-24AB-4F65-8509-CA061FD69388}"/>
    <hyperlink ref="T193" r:id="rId253" xr:uid="{93AFC6AB-9BA1-4973-92F3-F790ACDE4D19}"/>
    <hyperlink ref="B194" r:id="rId254" location="/@cbus/sname:prod/journey-optimizer/journey/report/#/workspace/template/ajo-journey/745dc927-64df-462b-8819-760afc248605" xr:uid="{14E99629-55BD-48C9-B1BA-1FDF579A92AE}"/>
    <hyperlink ref="T194" r:id="rId255" xr:uid="{03849D1B-E17B-4AD6-B577-6CF3F1BBB6CD}"/>
    <hyperlink ref="B196" r:id="rId256" location="/@cbus/sname:prod/journey-optimizer/journey/report/#/workspace/template/ajo-journey/b3c83ca1-5def-411e-8a8a-b1fa4230bca9" xr:uid="{212C918E-50B9-4332-B1C2-01AD126D7D41}"/>
    <hyperlink ref="B195" r:id="rId257" location="/@cbus/sname:prod/journey-optimizer/journey/report/#/workspace/template/ajo-journey/b3c83ca1-5def-411e-8a8a-b1fa4230bca9" xr:uid="{747F800E-4385-4B16-AF7F-18B7A6E1DCBA}"/>
    <hyperlink ref="B182" r:id="rId258" location="/@cbus/sname:prod/journey-optimizer/journey/report/#/workspace/template/ajo-journey/1428586f-9ad2-4562-8874-284efe3c0c8d" xr:uid="{D2BB8B2B-A730-4842-96DA-050B58161FA7}"/>
    <hyperlink ref="B198" r:id="rId259" location="/@cbus/sname:prod/journey-optimizer/journey/report/#/workspace/template/ajo-journey/11c7ab80-6498-486d-8799-60566311d059" xr:uid="{D028E486-7C5C-4F19-BC7C-4D0BF4854C81}"/>
    <hyperlink ref="B199" r:id="rId260" location="/@cbus/sname:prod/journey-optimizer/journey/report/#/workspace/template/ajo-journey/11c7ab80-6498-486d-8799-60566311d059" xr:uid="{EC080CCE-4AC3-44C9-846F-24E8A6E373E2}"/>
    <hyperlink ref="B203" r:id="rId261" location="/@cbus/sname:prod/journey-optimizer/journey/report/#/workspace/template/ajo-journey/b02f06c5-9124-4f58-a106-99330e115490" xr:uid="{D18EE3B5-4079-4B25-85C7-EED23D580736}"/>
    <hyperlink ref="B202" r:id="rId262" location="/@cbus/sname:prod/journey-optimizer/journey/report/#/workspace/template/ajo-journey/b02f06c5-9124-4f58-a106-99330e115490" display="Advice Needs research" xr:uid="{102FCE9B-70AE-41E5-87B2-139F4ABCDDFC}"/>
    <hyperlink ref="B204" r:id="rId263" location="/@cbus/sname:prod/journey-optimizer/journey/report/#/workspace/template/ajo-journey/b02f06c5-9124-4f58-a106-99330e115490" xr:uid="{3FE70EE3-023F-4E4B-BBF2-78E8EA52A0B4}"/>
    <hyperlink ref="B205" r:id="rId264" location="/@cbus/sname:prod/journey-optimizer/journey/report/#/workspace/template/ajo-journey/e72ad46a-3745-40ba-a629-d9f53273a656" display="Scam awareness EDM" xr:uid="{8AF7365D-29AF-42A6-B6EF-DE0F6A74D90E}"/>
    <hyperlink ref="B206" r:id="rId265" location="/@cbus/sname:prod/journey-optimizer/journey/report/#/workspace/template/ajo-journey/e72ad46a-3745-40ba-a629-d9f53273a656" display="Scam awareness EDM" xr:uid="{810FFCD4-E9A1-4CA2-BE71-0B3F9838A0F3}"/>
    <hyperlink ref="B185" r:id="rId266" location="/@cbus/sname:prod/journey-optimizer/journey/report/#/workspace/template/ajo-journey/3cbde0fd-ec21-4c5d-bbac-0292e906b9e5" display="Age Pension - 68 Years [Pre 25 Sep 2025]" xr:uid="{EC52EDA4-B983-4691-994A-4372BFCF8AB8}"/>
    <hyperlink ref="B186" r:id="rId267" location="/@cbus/sname:prod/journey-optimizer/journey/report/#/workspace/template/ajo-journey/3cbde0fd-ec21-4c5d-bbac-0292e906b9e5" display="Age Pension - 67 Years Pre 25 Sep 2025]" xr:uid="{2F265E0D-9A04-4F85-9612-18A7045D0D63}"/>
    <hyperlink ref="B187" r:id="rId268" location="/@cbus/sname:prod/journey-optimizer/journey/report/#/workspace/template/ajo-journey/3cbde0fd-ec21-4c5d-bbac-0292e906b9e5" display="Age Pension - 66 Years [Pre 25 Sep 2025]" xr:uid="{72F11345-FB57-4891-AFCB-A7021674E90D}"/>
    <hyperlink ref="B188" r:id="rId269" location="/@cbus/sname:prod/journey-optimizer/journey/report/#/workspace/template/ajo-journey/3cbde0fd-ec21-4c5d-bbac-0292e906b9e5" xr:uid="{20208A02-C4B2-4288-907A-1191A7C238BE}"/>
    <hyperlink ref="B184" r:id="rId270" location="/@cbus/sname:prod/journey-optimizer/journey/report/#/workspace/template/ajo-journey/35d680d6-e62b-40a2-98e9-8980addab421" display="6 Month Tenure [Pre 17 Sep 2025]" xr:uid="{AABAB842-6D2C-4F7E-85C6-832CD62AC046}"/>
    <hyperlink ref="B207" r:id="rId271" location="/@cbus/sname:prod/journey-optimizer/journey/report/#/workspace/template/ajo-journey/dd583dec-4a8f-4364-b58b-eeb1bca64b4d" xr:uid="{B7F0A43A-9F04-440F-AD9C-9105037D6F5C}"/>
    <hyperlink ref="B208" r:id="rId272" location="/@cbus/sname:prod/journey-optimizer/journey/report/#/workspace/template/ajo-journey/dd583dec-4a8f-4364-b58b-eeb1bca64b4d" xr:uid="{DD788B99-0528-4A31-9DA2-3F14526C441E}"/>
    <hyperlink ref="B209" r:id="rId273" location="/@cbus/sname:prod/journey-optimizer/journey/report/#/workspace/template/ajo-journey/1705c74b-00e3-4f10-ba53-8d31b070761f" xr:uid="{17785F7D-009F-47E5-BBC0-003E27DEA98B}"/>
    <hyperlink ref="B210" r:id="rId274" location="/@cbus/sname:prod/journey-optimizer/journey/report/#/workspace/template/ajo-journey/1705c74b-00e3-4f10-ba53-8d31b070761f" xr:uid="{D3C43F25-13E2-464D-BC6A-ACA9A0C7C58D}"/>
    <hyperlink ref="T211" r:id="rId275" xr:uid="{8BE67F82-F3D7-4965-828D-53844EB241DB}"/>
    <hyperlink ref="T212" r:id="rId276" xr:uid="{F7ECDDC4-C378-4C02-ADFF-9C619DE281B0}"/>
    <hyperlink ref="T213" r:id="rId277" xr:uid="{DE67BC14-DC57-4C4C-8FE5-3ACFBDA435C4}"/>
    <hyperlink ref="T222" r:id="rId278" xr:uid="{C7E19626-02A4-4B0C-B60E-86E179849241}"/>
    <hyperlink ref="T221" r:id="rId279" xr:uid="{D891EFB4-ACAF-45AA-832E-A8B62891E532}"/>
    <hyperlink ref="T214" r:id="rId280" xr:uid="{308B7210-80CE-4BFD-9B40-FDB3B1E0E14D}"/>
    <hyperlink ref="T215" r:id="rId281" xr:uid="{5D44B1DF-075A-4461-BA16-F256BCB5DB2F}"/>
    <hyperlink ref="T216" r:id="rId282" xr:uid="{AC14882E-C08F-418B-89F1-712D6C01D1EB}"/>
    <hyperlink ref="T217" r:id="rId283" xr:uid="{D65178F1-7C36-4856-968B-BB7AFA21409D}"/>
    <hyperlink ref="T218" r:id="rId284" xr:uid="{B27A6DAE-AEF7-4B53-BFDF-7010146F131A}"/>
    <hyperlink ref="T219" r:id="rId285" xr:uid="{8190AD1D-5D8B-4E66-B390-2F27A170F62F}"/>
    <hyperlink ref="T220" r:id="rId286" xr:uid="{1A1D7CA3-25FC-465E-8689-45457A25D40D}"/>
    <hyperlink ref="T225" r:id="rId287" xr:uid="{819A5C2B-5456-43E4-8F4C-6C12E999B71B}"/>
    <hyperlink ref="T223" r:id="rId288" xr:uid="{0231BAAE-7304-424A-9D64-FE75B529BAAB}"/>
    <hyperlink ref="B226" r:id="rId289" location="/@cbus/sname:prod/journey-optimizer/journey/report/#/workspace/template/ajo-journey/d7209149-fde7-4ac2-84e6-07fd80500573" xr:uid="{E1872C75-D226-47E3-AF54-1A01D18B09E6}"/>
    <hyperlink ref="B227" r:id="rId290" location="/@cbus/sname:prod/journey-optimizer/journey/report/#/workspace/template/ajo-journey/d7209149-fde7-4ac2-84e6-07fd80500573" xr:uid="{3461D3D2-9801-47C0-BE04-13C65711D695}"/>
    <hyperlink ref="B228" r:id="rId291" location="/@cbus/sname:prod/journey-optimizer/journey/report/#/workspace/template/ajo-journey/8358282e-963a-4b3a-95a3-3c1846825c9c" xr:uid="{D4B47714-368B-4369-BC6A-CE3BF62714B4}"/>
    <hyperlink ref="B229" r:id="rId292" location="/@cbus/sname:prod/journey-optimizer/journey/report/#/workspace/template/ajo-journey/8358282e-963a-4b3a-95a3-3c1846825c9c" xr:uid="{530F7378-391C-4B8F-ABC0-9D46F6F0F7C4}"/>
    <hyperlink ref="B230" r:id="rId293" location="/@cbus/sname:prod/journey-optimizer/journey/report/#/workspace/template/ajo-journey/a7179232-e11e-42a4-af3e-d7e193714354" xr:uid="{05123249-3A00-4E04-9FA3-0FAF2BC645C5}"/>
    <hyperlink ref="B231" r:id="rId294" location="/@cbus/sname:prod/journey-optimizer/journey/report/#/workspace/template/ajo-journey/a7179232-e11e-42a4-af3e-d7e193714354" xr:uid="{9EDD1503-471B-46D8-A716-808692FB771A}"/>
    <hyperlink ref="B232" r:id="rId295" location="/@cbus/sname:prod/journey-optimizer/journey/report/#/workspace/template/ajo-journey/ae73d654-f7fb-4218-a985-79965ed53f32" xr:uid="{F57197D2-BDF7-4008-AFD0-70B7D9715401}"/>
    <hyperlink ref="B233" r:id="rId296" location="/@cbus/sname:prod/journey-optimizer/journey/report/#/workspace/template/ajo-journey/ae73d654-f7fb-4218-a985-79965ed53f32" xr:uid="{9CACDA5D-7A93-4498-910D-CB23E2DD242F}"/>
    <hyperlink ref="B234" r:id="rId297" location="/@cbus/sname:prod/journey-optimizer/journey/report/#/workspace/template/ajo-journey/785d6f2f-8292-422a-9833-2d2802ca7fa1" xr:uid="{9AAA07F3-02AF-4AF9-976C-35C0B3FBDD69}"/>
    <hyperlink ref="B235" r:id="rId298" location="/@cbus/sname:prod/journey-optimizer/journey/report/#/workspace/template/ajo-journey/785d6f2f-8292-422a-9833-2d2802ca7fa1" xr:uid="{9B97E2D8-C7F0-4E0C-81C3-2CC1F156AA5A}"/>
    <hyperlink ref="B238" r:id="rId299" location="/@cbus/sname:prod/journey-optimizer/journey/report/#/workspace/template/ajo-journey/e518a319-9c52-4d1e-8c54-5a5bac7e98c1" xr:uid="{60B4CB47-B5E1-4484-AB18-9847FCCFAFF2}"/>
    <hyperlink ref="B239" r:id="rId300" location="/@cbus/sname:prod/journey-optimizer/journey/report/#/workspace/template/ajo-journey/1428586f-9ad2-4562-8874-284efe3c0c8d" xr:uid="{95C6780C-2B2D-4C98-8481-E4E825CBE9BF}"/>
    <hyperlink ref="B240" r:id="rId301" location="/@cbus/sname:prod/journey-optimizer/journey/report/#/workspace/template/ajo-journey/3cbde0fd-ec21-4c5d-bbac-0292e906b9e5" display="Age Pension - 68 Years [Pre 25 Sep 2025]" xr:uid="{0021A7F2-DD1B-4870-9404-16898343915B}"/>
    <hyperlink ref="B241" r:id="rId302" location="/@cbus/sname:prod/journey-optimizer/journey/report/#/workspace/template/ajo-journey/3cbde0fd-ec21-4c5d-bbac-0292e906b9e5" display="Age Pension - 67 Years Pre 25 Sep 2025]" xr:uid="{53DF61B3-616E-480C-9213-CCC9AC61DF56}"/>
    <hyperlink ref="B242" r:id="rId303" location="/@cbus/sname:prod/journey-optimizer/journey/report/#/workspace/template/ajo-journey/3cbde0fd-ec21-4c5d-bbac-0292e906b9e5" display="Age Pension - 66 Years [Pre 25 Sep 2025]" xr:uid="{E79F2A25-E7F2-40DB-926C-4F4EB6753687}"/>
    <hyperlink ref="B243" r:id="rId304" location="/@cbus/sname:prod/journey-optimizer/journey/report/#/workspace/template/ajo-journey/3cbde0fd-ec21-4c5d-bbac-0292e906b9e5" xr:uid="{DFEB8853-4230-4E7F-84A7-0B899306326B}"/>
    <hyperlink ref="B236:B237" r:id="rId305" location="/@cbus/sname:prod/journey-optimizer/journey/report/#/workspace/template/ajo-journey/e1d432aa-88e8-4c3a-89bb-7cfed646e1be" display="PYS 12 Months" xr:uid="{2704B708-84EA-4C85-8C04-062100C8F184}"/>
    <hyperlink ref="B244" r:id="rId306" location="/@cbus/sname:prod/journey-optimizer/journey/report/#/workspace/template/ajo-journey/6b33825c-fbb5-4f47-b564-a293510bba4f" xr:uid="{4C0A1E69-2558-4BB8-B21B-397325219DC8}"/>
    <hyperlink ref="B245" r:id="rId307" location="/@cbus/sname:prod/journey-optimizer/journey/report/#/workspace/template/ajo-journey/6b33825c-fbb5-4f47-b564-a293510bba4f" xr:uid="{76AAD98C-AAC2-4503-AA34-8B434EE3ED3E}"/>
    <hyperlink ref="B247" r:id="rId308" location="/@cbus/sname:prod/journey-optimizer/journey/report/#/workspace/template/ajo-journey/23e4f381-4c2b-457e-b600-83d098bf6354" display="Data Capture [Sept 2025] - Automated Sep Report" xr:uid="{FC9C2CA8-8ABC-4F1E-BB1E-03A815CF8CD8}"/>
    <hyperlink ref="B246" r:id="rId309" location="/@cbus/sname:prod/journey-optimizer/journey/report/#/workspace/template/ajo-journey/23e4f381-4c2b-457e-b600-83d098bf6354" display="Data Capture [Sept 2025] - Automated Sep Report" xr:uid="{8838D11D-6FBD-48CF-9CA4-EDBB1F82F383}"/>
    <hyperlink ref="B190" r:id="rId310" location="/@cbus/sname:prod/journey-optimizer/journey/report/#/workspace/template/ajo-journey/23e4f381-4c2b-457e-b600-83d098bf6354" display="Data Capture [Sept 2025] - Automated Sep Report" xr:uid="{B7867DAB-269E-4524-91A1-534B6EDD7C51}"/>
    <hyperlink ref="B189" r:id="rId311" location="/@cbus/sname:prod/journey-optimizer/journey/report/#/workspace/template/ajo-journey/23e4f381-4c2b-457e-b600-83d098bf6354" display="Data Capture [Sept 2025] - Automated Sep Report" xr:uid="{9D599D62-17C9-498F-8055-4133593F374D}"/>
    <hyperlink ref="B248" r:id="rId312" location="/@cbus/sname:prod/journey-optimizer/journey/report/#/workspace/template/ajo-journey/854f73d8-aa00-4fe2-9c2e-45bcb54156f4" xr:uid="{C1027C14-56EA-448E-8BAB-C63E09D0C9E4}"/>
    <hyperlink ref="B249" r:id="rId313" location="/@cbus/sname:prod/journey-optimizer/journey/report/#/workspace/template/ajo-journey/854f73d8-aa00-4fe2-9c2e-45bcb54156f4" xr:uid="{384E04F6-4003-476E-B192-E063148EA31B}"/>
    <hyperlink ref="B251" r:id="rId314" location="/@cbus/sname:prod/journey-optimizer/journey/report/#/workspace/template/ajo-journey/b02f06c5-9124-4f58-a106-99330e115490" xr:uid="{02010B3C-9466-465E-936C-9470E6B34533}"/>
    <hyperlink ref="B250" r:id="rId315" location="/@cbus/sname:prod/journey-optimizer/journey/report/#/workspace/template/ajo-journey/b02f06c5-9124-4f58-a106-99330e115490" display="Advice Needs research" xr:uid="{AE77844B-C2CD-4063-8DD4-6E106784FF21}"/>
    <hyperlink ref="B252" r:id="rId316" location="/@cbus/sname:prod/journey-optimizer/journey/report/#/workspace/template/ajo-journey/b02f06c5-9124-4f58-a106-99330e115490" xr:uid="{2E8F6402-4182-4DDE-A83F-CCF9127227F3}"/>
    <hyperlink ref="B250:B252" r:id="rId317" location="/@cbus/sname:prod/journey-optimizer/journey/report/#/workspace/template/ajo-journey/09bbe6ac-c38b-4e06-9ae0-fa2b7779445b" display="Advice Needs research- MEDIA 35s+ Reminder" xr:uid="{B63A33C9-482B-449F-9AF5-9895152EAB9F}"/>
    <hyperlink ref="B253" r:id="rId318" location="/@cbus/sname:prod/journey-optimizer/journey/report/#/workspace/template/ajo-journey/51b42ebc-0a9a-4491-a1fa-669bce1a67e7" display="YC Investment Basics" xr:uid="{47D98467-B2C4-4A72-B0B6-64FB8BC26859}"/>
    <hyperlink ref="B254:B256" r:id="rId319" location="/@cbus/sname:prod/journey-optimizer/journey/report/#/workspace/template/ajo-journey/51b42ebc-0a9a-4491-a1fa-669bce1a67e7" display="YC Investment Basics" xr:uid="{5F39ABA6-87A9-4E9D-A6EE-905C88ABE4DF}"/>
    <hyperlink ref="T253" r:id="rId320" xr:uid="{18314DDC-5F4F-4BDB-A668-B5872785532C}"/>
    <hyperlink ref="T254" r:id="rId321" xr:uid="{7BADFD5C-DAEF-4DE1-A527-593BE81D4E72}"/>
    <hyperlink ref="T255" r:id="rId322" xr:uid="{F7E6F66E-D9EA-4898-900D-5532E4671623}"/>
    <hyperlink ref="T256" r:id="rId323" xr:uid="{5A74C3FC-5D44-4CFB-89D8-A45337A2B428}"/>
    <hyperlink ref="B257" r:id="rId324" location="/@cbus/sname:prod/journey-optimizer/journey/report/#/workspace/template/ajo-journey/3e292887-b584-4bcf-8302-372f4e8f75d2" xr:uid="{F6016358-C5B9-40C3-96F3-C601559DB907}"/>
    <hyperlink ref="B258" r:id="rId325" location="/@cbus/sname:prod/journey-optimizer/journey/report/#/workspace/template/ajo-journey/98bceed7-967d-4787-a4c1-29e5d4f011c6" display="Quarterly Investment Perf Update - HNW" xr:uid="{1A2508D2-E90A-4CBB-8B8C-963174C904B8}"/>
    <hyperlink ref="B259" r:id="rId326" location="/@cbus/sname:prod/journey-optimizer/journey/report/#/workspace/template/ajo-journey/98bceed7-967d-4787-a4c1-29e5d4f011c6" display="Quarterly Investment Perf Update - HNW" xr:uid="{0AA40987-2B11-42F9-81C9-236D7843AC8D}"/>
    <hyperlink ref="T258" r:id="rId327" xr:uid="{D97EE891-4645-49D2-B25F-26C14EFC3BEF}"/>
    <hyperlink ref="T259" r:id="rId328" xr:uid="{13D1D080-A49D-42A1-8A13-AC04792EAEEB}"/>
    <hyperlink ref="B260" r:id="rId329" location="/@cbus/sname:prod/journey-optimizer/journey/report/#/workspace/template/ajo-journey/b2d213d8-d137-4f0b-bd6c-535471820e6f" xr:uid="{0C3F0A6D-5EE8-4501-803F-ADDCAD0ED220}"/>
    <hyperlink ref="B261" r:id="rId330" location="/@cbus/sname:prod/journey-optimizer/journey/report/#/workspace/template/ajo-journey/b2d213d8-d137-4f0b-bd6c-535471820e6f" xr:uid="{38CF9644-43F9-483B-886E-9A492D9C3A3B}"/>
    <hyperlink ref="T260" r:id="rId331" xr:uid="{678283B0-C9B8-42D6-88C9-59FCE516EEB7}"/>
    <hyperlink ref="T261" r:id="rId332" xr:uid="{F2DBCCEF-744E-4DBE-9BC8-6CD22C6569A1}"/>
    <hyperlink ref="B262" r:id="rId333" location="/@cbus/sname:prod/journey-optimizer/journey/report/#/workspace/template/ajo-journey/f4685d9b-1aa1-48e0-88a5-676af16225cf" xr:uid="{9AB60A34-75B2-46E6-867A-C6D18F6473D8}"/>
    <hyperlink ref="B263" r:id="rId334" location="/@cbus/sname:prod/journey-optimizer/journey/report/#/workspace/template/ajo-journey/f4685d9b-1aa1-48e0-88a5-676af16225cf" xr:uid="{6EBAF5FD-971F-43EB-BC02-D9DED04180AA}"/>
    <hyperlink ref="T262" r:id="rId335" xr:uid="{EF9898B8-4752-4803-84B4-723099440F4F}"/>
    <hyperlink ref="T263" r:id="rId336" xr:uid="{2C97B4E3-E071-4FC9-8214-2E7EFF682463}"/>
    <hyperlink ref="B264" r:id="rId337" location="/@cbus/sname:prod/journey-optimizer/journey/report/#/workspace/template/ajo-journey/6a9f570b-c2e8-4903-8f56-8a02b73a7926" xr:uid="{6F27F4B5-83E3-4C53-BCB6-11143FEAB1D0}"/>
    <hyperlink ref="B265" r:id="rId338" location="/@cbus/sname:prod/journey-optimizer/journey/report/#/workspace/template/ajo-journey/6a9f570b-c2e8-4903-8f56-8a02b73a7926" display="SEN - Death Benefit Nov 25" xr:uid="{D7AAF38C-5652-4386-8A71-3DA5707467F1}"/>
    <hyperlink ref="T264" r:id="rId339" xr:uid="{3E8DCB2C-2CBD-444A-AE77-A07E924D1512}"/>
    <hyperlink ref="T265" r:id="rId340" xr:uid="{9A418F6D-2E11-4129-8625-EBA8CBF24892}"/>
    <hyperlink ref="T266" r:id="rId341" xr:uid="{8D57081E-13DF-438D-889C-CE6E066BDC9C}"/>
  </hyperlinks>
  <pageMargins left="0.7" right="0.7" top="0.75" bottom="0.75" header="0.3" footer="0.3"/>
  <legacyDrawing r:id="rId342"/>
  <tableParts count="1">
    <tablePart r:id="rId34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3A5E-6DAA-4B9F-B9DD-589AC3C2E7BB}">
  <dimension ref="A1:T9"/>
  <sheetViews>
    <sheetView topLeftCell="H1" workbookViewId="0">
      <selection activeCell="Q9" sqref="Q9:T9"/>
    </sheetView>
  </sheetViews>
  <sheetFormatPr defaultRowHeight="15.75"/>
  <cols>
    <col min="2" max="2" width="36.375" customWidth="1"/>
    <col min="3" max="3" width="33.25" customWidth="1"/>
  </cols>
  <sheetData>
    <row r="1" spans="1:20">
      <c r="A1" s="91">
        <v>73</v>
      </c>
      <c r="B1" s="92" t="s">
        <v>269</v>
      </c>
      <c r="C1" s="93" t="s">
        <v>225</v>
      </c>
      <c r="D1" s="94" t="s">
        <v>21</v>
      </c>
      <c r="E1" s="94" t="s">
        <v>68</v>
      </c>
      <c r="F1" s="92" t="s">
        <v>26</v>
      </c>
      <c r="G1" s="92">
        <v>123043</v>
      </c>
      <c r="H1" s="92">
        <v>77839</v>
      </c>
      <c r="I1" s="92">
        <v>27851</v>
      </c>
      <c r="J1" s="92">
        <v>106</v>
      </c>
      <c r="K1" s="95" t="e">
        <f>(Table1[[#This Row],[unsub]]/Table1[[#This Row],[unique-sends]])*100</f>
        <v>#VALUE!</v>
      </c>
      <c r="L1" s="96" t="e">
        <f>Table1[[#This Row],[unique-opens]] / Table1[[#This Row],[unique-sends]] * 100</f>
        <v>#VALUE!</v>
      </c>
      <c r="M1" s="97" t="e">
        <f>Table1[[#This Row],[unique-clicks]] / Table1[[#This Row],[unique-sends]] * 100</f>
        <v>#VALUE!</v>
      </c>
      <c r="N1" s="97" t="e">
        <f>Table1[[#This Row],[unique-clicks]] / Table1[[#This Row],[unique-opens]] * 100</f>
        <v>#VALUE!</v>
      </c>
      <c r="O1" s="97" t="e">
        <f>(MIN(Table1[[#This Row],[unique-opens]]/Table1[[#This Row],[unique-sends]],1)*50
 + MIN(Table1[[#This Row],[unique-clicks]]/Table1[[#This Row],[unique-sends]],1)*50)
 * (1 + MIN(Table1[[#This Row],[unique-clicks]]/Table1[[#This Row],[unique-sends]],1))
 - ((Table1[[#This Row],[unsub]]/Table1[[#This Row],[unique-sends]]*100)*2)</f>
        <v>#VALUE!</v>
      </c>
      <c r="P1" s="97" t="e">
        <f>IF(Table1[[#This Row],[Engagement Score]]&lt;30,"🔴",IF(Table1[[#This Row],[Engagement Score]]&lt;40,"🟡","🟢"))</f>
        <v>#VALUE!</v>
      </c>
      <c r="Q1" s="98">
        <v>75.5</v>
      </c>
      <c r="R1" s="99">
        <v>16.100000000000001</v>
      </c>
      <c r="S1" s="99">
        <v>8.4</v>
      </c>
      <c r="T1" s="100" t="s">
        <v>218</v>
      </c>
    </row>
    <row r="2" spans="1:20">
      <c r="A2" s="101">
        <v>73</v>
      </c>
      <c r="B2" s="102" t="s">
        <v>270</v>
      </c>
      <c r="C2" s="103" t="s">
        <v>225</v>
      </c>
      <c r="D2" s="90" t="s">
        <v>21</v>
      </c>
      <c r="E2" s="90" t="s">
        <v>68</v>
      </c>
      <c r="F2" s="89" t="s">
        <v>26</v>
      </c>
      <c r="G2" s="89">
        <v>120860</v>
      </c>
      <c r="H2" s="89">
        <v>75987</v>
      </c>
      <c r="I2" s="89">
        <v>24658</v>
      </c>
      <c r="J2" s="89">
        <v>80</v>
      </c>
      <c r="K2" s="36">
        <f>(Table1[[#This Row],[unsub]]/Table1[[#This Row],[unique-sends]])*100</f>
        <v>0.64844835572024084</v>
      </c>
      <c r="L2" s="6">
        <f>Table1[[#This Row],[unique-opens]] / Table1[[#This Row],[unique-sends]] * 100</f>
        <v>123.7610004631774</v>
      </c>
      <c r="M2" s="31">
        <f>Table1[[#This Row],[unique-clicks]] / Table1[[#This Row],[unique-sends]] * 100</f>
        <v>3.0569708198239924</v>
      </c>
      <c r="N2" s="37">
        <f>Table1[[#This Row],[unique-clicks]] / Table1[[#This Row],[unique-opens]] * 100</f>
        <v>2.4700598802395208</v>
      </c>
      <c r="O2" s="37">
        <f>(MIN(Table1[[#This Row],[unique-opens]]/Table1[[#This Row],[unique-sends]],1)*50
 + MIN(Table1[[#This Row],[unique-clicks]]/Table1[[#This Row],[unique-sends]],1)*50)
 * (1 + MIN(Table1[[#This Row],[unique-clicks]]/Table1[[#This Row],[unique-sends]],1))
 - ((Table1[[#This Row],[unsub]]/Table1[[#This Row],[unique-sends]]*100)*2)</f>
        <v>51.806799461349783</v>
      </c>
      <c r="P2" s="37" t="str">
        <f>IF(Table1[[#This Row],[Engagement Score]]&lt;30,"🔴",IF(Table1[[#This Row],[Engagement Score]]&lt;40,"🟡","🟢"))</f>
        <v>🟢</v>
      </c>
      <c r="Q2" s="14">
        <v>75.5</v>
      </c>
      <c r="R2" s="16">
        <v>16.100000000000001</v>
      </c>
      <c r="S2" s="16">
        <v>8.4</v>
      </c>
      <c r="T2" s="104" t="s">
        <v>218</v>
      </c>
    </row>
    <row r="3" spans="1:20">
      <c r="A3" s="91">
        <v>73</v>
      </c>
      <c r="B3" s="105" t="s">
        <v>271</v>
      </c>
      <c r="C3" s="93" t="s">
        <v>225</v>
      </c>
      <c r="D3" s="94" t="s">
        <v>21</v>
      </c>
      <c r="E3" s="94" t="s">
        <v>68</v>
      </c>
      <c r="F3" s="92" t="s">
        <v>26</v>
      </c>
      <c r="G3" s="92">
        <v>120036</v>
      </c>
      <c r="H3" s="92">
        <v>68408</v>
      </c>
      <c r="I3" s="92">
        <v>14326</v>
      </c>
      <c r="J3" s="92">
        <v>103</v>
      </c>
      <c r="K3" s="106">
        <f>(Table1[[#This Row],[unsub]]/Table1[[#This Row],[unique-sends]])*100</f>
        <v>3.1367628607277286E-2</v>
      </c>
      <c r="L3" s="107">
        <f>Table1[[#This Row],[unique-opens]] / Table1[[#This Row],[unique-sends]] * 100</f>
        <v>54.997908824759513</v>
      </c>
      <c r="M3" s="108">
        <f>Table1[[#This Row],[unique-clicks]] / Table1[[#This Row],[unique-sends]] * 100</f>
        <v>0.52279381012128812</v>
      </c>
      <c r="N3" s="97">
        <f>Table1[[#This Row],[unique-clicks]] / Table1[[#This Row],[unique-opens]] * 100</f>
        <v>0.95057034220532322</v>
      </c>
      <c r="O3" s="97">
        <f>(MIN(Table1[[#This Row],[unique-opens]]/Table1[[#This Row],[unique-sends]],1)*50
 + MIN(Table1[[#This Row],[unique-clicks]]/Table1[[#This Row],[unique-sends]],1)*50)
 * (1 + MIN(Table1[[#This Row],[unique-clicks]]/Table1[[#This Row],[unique-sends]],1))
 - ((Table1[[#This Row],[unsub]]/Table1[[#This Row],[unique-sends]]*100)*2)</f>
        <v>27.842745458581344</v>
      </c>
      <c r="P3" s="97" t="str">
        <f>IF(Table1[[#This Row],[Engagement Score]]&lt;30,"🔴",IF(Table1[[#This Row],[Engagement Score]]&lt;40,"🟡","🟢"))</f>
        <v>🔴</v>
      </c>
      <c r="Q3" s="98">
        <v>75.5</v>
      </c>
      <c r="R3" s="99">
        <v>16.100000000000001</v>
      </c>
      <c r="S3" s="99">
        <v>8.4</v>
      </c>
      <c r="T3" s="100" t="s">
        <v>218</v>
      </c>
    </row>
    <row r="4" spans="1:20">
      <c r="A4" s="101">
        <v>73</v>
      </c>
      <c r="B4" s="102" t="s">
        <v>272</v>
      </c>
      <c r="C4" s="103" t="s">
        <v>225</v>
      </c>
      <c r="D4" s="90" t="s">
        <v>21</v>
      </c>
      <c r="E4" s="90" t="s">
        <v>68</v>
      </c>
      <c r="F4" s="89" t="s">
        <v>26</v>
      </c>
      <c r="G4" s="89">
        <v>113598</v>
      </c>
      <c r="H4" s="89">
        <v>68774</v>
      </c>
      <c r="I4" s="89">
        <v>21197</v>
      </c>
      <c r="J4" s="89">
        <v>127</v>
      </c>
      <c r="K4" s="36">
        <f>(Table1[[#This Row],[unsub]]/Table1[[#This Row],[unique-sends]])*100</f>
        <v>0</v>
      </c>
      <c r="L4" s="39">
        <f>Table1[[#This Row],[unique-opens]] / Table1[[#This Row],[unique-sends]] * 100</f>
        <v>57.391304347826086</v>
      </c>
      <c r="M4" s="40">
        <f>Table1[[#This Row],[unique-clicks]] / Table1[[#This Row],[unique-sends]] * 100</f>
        <v>0</v>
      </c>
      <c r="N4" s="37">
        <f>Table1[[#This Row],[unique-clicks]] / Table1[[#This Row],[unique-opens]] * 100</f>
        <v>0</v>
      </c>
      <c r="O4" s="37">
        <f>(MIN(Table1[[#This Row],[unique-opens]]/Table1[[#This Row],[unique-sends]],1)*50
 + MIN(Table1[[#This Row],[unique-clicks]]/Table1[[#This Row],[unique-sends]],1)*50)
 * (1 + MIN(Table1[[#This Row],[unique-clicks]]/Table1[[#This Row],[unique-sends]],1))
 - ((Table1[[#This Row],[unsub]]/Table1[[#This Row],[unique-sends]]*100)*2)</f>
        <v>28.695652173913043</v>
      </c>
      <c r="P4" s="37" t="str">
        <f>IF(Table1[[#This Row],[Engagement Score]]&lt;30,"🔴",IF(Table1[[#This Row],[Engagement Score]]&lt;40,"🟡","🟢"))</f>
        <v>🔴</v>
      </c>
      <c r="Q4" s="14">
        <v>75.5</v>
      </c>
      <c r="R4" s="16">
        <v>16.100000000000001</v>
      </c>
      <c r="S4" s="16">
        <v>8.4</v>
      </c>
      <c r="T4" s="104" t="s">
        <v>218</v>
      </c>
    </row>
    <row r="5" spans="1:20">
      <c r="A5" s="91">
        <v>73</v>
      </c>
      <c r="B5" s="105" t="s">
        <v>273</v>
      </c>
      <c r="C5" s="93" t="s">
        <v>225</v>
      </c>
      <c r="D5" s="94" t="s">
        <v>21</v>
      </c>
      <c r="E5" s="94" t="s">
        <v>68</v>
      </c>
      <c r="F5" s="92" t="s">
        <v>26</v>
      </c>
      <c r="G5" s="92">
        <v>113031</v>
      </c>
      <c r="H5" s="92">
        <v>67980</v>
      </c>
      <c r="I5" s="92">
        <v>20579</v>
      </c>
      <c r="J5" s="92">
        <v>131</v>
      </c>
      <c r="K5" s="106">
        <f>(Table1[[#This Row],[unsub]]/Table1[[#This Row],[unique-sends]])*100</f>
        <v>0.12077294685990338</v>
      </c>
      <c r="L5" s="107">
        <f>Table1[[#This Row],[unique-opens]] / Table1[[#This Row],[unique-sends]] * 100</f>
        <v>88.816425120772948</v>
      </c>
      <c r="M5" s="108">
        <f>Table1[[#This Row],[unique-clicks]] / Table1[[#This Row],[unique-sends]] * 100</f>
        <v>3.0676328502415457</v>
      </c>
      <c r="N5" s="97">
        <f>Table1[[#This Row],[unique-clicks]] / Table1[[#This Row],[unique-opens]] * 100</f>
        <v>3.4539026380201254</v>
      </c>
      <c r="O5" s="97">
        <f>(MIN(Table1[[#This Row],[unique-opens]]/Table1[[#This Row],[unique-sends]],1)*50
 + MIN(Table1[[#This Row],[unique-clicks]]/Table1[[#This Row],[unique-sends]],1)*50)
 * (1 + MIN(Table1[[#This Row],[unique-clicks]]/Table1[[#This Row],[unique-sends]],1))
 - ((Table1[[#This Row],[unsub]]/Table1[[#This Row],[unique-sends]]*100)*2)</f>
        <v>47.109815865014355</v>
      </c>
      <c r="P5" s="97" t="str">
        <f>IF(Table1[[#This Row],[Engagement Score]]&lt;30,"🔴",IF(Table1[[#This Row],[Engagement Score]]&lt;40,"🟡","🟢"))</f>
        <v>🟢</v>
      </c>
      <c r="Q5" s="98">
        <v>75.5</v>
      </c>
      <c r="R5" s="99">
        <v>16.100000000000001</v>
      </c>
      <c r="S5" s="99">
        <v>8.4</v>
      </c>
      <c r="T5" s="100" t="s">
        <v>218</v>
      </c>
    </row>
    <row r="6" spans="1:20">
      <c r="A6" s="101">
        <v>73</v>
      </c>
      <c r="B6" s="102" t="s">
        <v>274</v>
      </c>
      <c r="C6" s="103" t="s">
        <v>225</v>
      </c>
      <c r="D6" s="90" t="s">
        <v>28</v>
      </c>
      <c r="E6" s="90" t="s">
        <v>68</v>
      </c>
      <c r="F6" s="89" t="s">
        <v>26</v>
      </c>
      <c r="G6" s="89">
        <v>25703</v>
      </c>
      <c r="H6" s="89">
        <v>18701</v>
      </c>
      <c r="I6" s="89">
        <v>7725</v>
      </c>
      <c r="J6" s="89">
        <v>17</v>
      </c>
      <c r="K6" s="36">
        <f>(Table1[[#This Row],[unsub]]/Table1[[#This Row],[unique-sends]])*100</f>
        <v>4.1528239202657809E-2</v>
      </c>
      <c r="L6" s="39">
        <f>Table1[[#This Row],[unique-opens]] / Table1[[#This Row],[unique-sends]] * 100</f>
        <v>65.988372093023244</v>
      </c>
      <c r="M6" s="40">
        <f>Table1[[#This Row],[unique-clicks]] / Table1[[#This Row],[unique-sends]] * 100</f>
        <v>6.852159468438539</v>
      </c>
      <c r="N6" s="37">
        <f>Table1[[#This Row],[unique-clicks]] / Table1[[#This Row],[unique-opens]] * 100</f>
        <v>10.383889238514788</v>
      </c>
      <c r="O6" s="37">
        <f>(MIN(Table1[[#This Row],[unique-opens]]/Table1[[#This Row],[unique-sends]],1)*50
 + MIN(Table1[[#This Row],[unique-clicks]]/Table1[[#This Row],[unique-sends]],1)*50)
 * (1 + MIN(Table1[[#This Row],[unique-clicks]]/Table1[[#This Row],[unique-sends]],1))
 - ((Table1[[#This Row],[unsub]]/Table1[[#This Row],[unique-sends]]*100)*2)</f>
        <v>38.832783992450409</v>
      </c>
      <c r="P6" s="37" t="str">
        <f>IF(Table1[[#This Row],[Engagement Score]]&lt;30,"🔴",IF(Table1[[#This Row],[Engagement Score]]&lt;40,"🟡","🟢"))</f>
        <v>🟡</v>
      </c>
      <c r="Q6" s="10">
        <v>72.099999999999994</v>
      </c>
      <c r="R6" s="11">
        <v>15.6</v>
      </c>
      <c r="S6" s="11">
        <v>12.3</v>
      </c>
      <c r="T6" s="109" t="s">
        <v>230</v>
      </c>
    </row>
    <row r="7" spans="1:20">
      <c r="A7" s="110">
        <v>76</v>
      </c>
      <c r="B7" s="105" t="s">
        <v>275</v>
      </c>
      <c r="C7" s="93" t="s">
        <v>225</v>
      </c>
      <c r="D7" s="94" t="s">
        <v>28</v>
      </c>
      <c r="E7" s="94" t="s">
        <v>68</v>
      </c>
      <c r="F7" s="92" t="s">
        <v>26</v>
      </c>
      <c r="G7" s="92">
        <v>15952</v>
      </c>
      <c r="H7" s="92">
        <v>11725</v>
      </c>
      <c r="I7" s="92">
        <v>4165</v>
      </c>
      <c r="J7" s="92">
        <v>23</v>
      </c>
      <c r="K7" s="106">
        <f>(Table1[[#This Row],[unsub]]/Table1[[#This Row],[unique-sends]])*100</f>
        <v>0</v>
      </c>
      <c r="L7" s="107">
        <f>Table1[[#This Row],[unique-opens]] / Table1[[#This Row],[unique-sends]] * 100</f>
        <v>74</v>
      </c>
      <c r="M7" s="108">
        <f>Table1[[#This Row],[unique-clicks]] / Table1[[#This Row],[unique-sends]] * 100</f>
        <v>14.000000000000002</v>
      </c>
      <c r="N7" s="97">
        <f>Table1[[#This Row],[unique-clicks]] / Table1[[#This Row],[unique-opens]] * 100</f>
        <v>18.918918918918919</v>
      </c>
      <c r="O7" s="97">
        <f>(MIN(Table1[[#This Row],[unique-opens]]/Table1[[#This Row],[unique-sends]],1)*50
 + MIN(Table1[[#This Row],[unique-clicks]]/Table1[[#This Row],[unique-sends]],1)*50)
 * (1 + MIN(Table1[[#This Row],[unique-clicks]]/Table1[[#This Row],[unique-sends]],1))
 - ((Table1[[#This Row],[unsub]]/Table1[[#This Row],[unique-sends]]*100)*2)</f>
        <v>50.160000000000004</v>
      </c>
      <c r="P7" s="97" t="str">
        <f>IF(Table1[[#This Row],[Engagement Score]]&lt;30,"🔴",IF(Table1[[#This Row],[Engagement Score]]&lt;40,"🟡","🟢"))</f>
        <v>🟢</v>
      </c>
      <c r="Q7" s="111">
        <v>72.099999999999994</v>
      </c>
      <c r="R7" s="112">
        <v>15.6</v>
      </c>
      <c r="S7" s="112">
        <v>12.3</v>
      </c>
      <c r="T7" s="113" t="s">
        <v>230</v>
      </c>
    </row>
    <row r="8" spans="1:20">
      <c r="A8" s="114">
        <v>76</v>
      </c>
      <c r="B8" s="102" t="s">
        <v>276</v>
      </c>
      <c r="C8" s="103" t="s">
        <v>225</v>
      </c>
      <c r="D8" s="90" t="s">
        <v>28</v>
      </c>
      <c r="E8" s="90" t="s">
        <v>68</v>
      </c>
      <c r="F8" s="89" t="s">
        <v>26</v>
      </c>
      <c r="G8" s="89">
        <v>4216</v>
      </c>
      <c r="H8" s="89">
        <v>2280</v>
      </c>
      <c r="I8" s="89">
        <v>880</v>
      </c>
      <c r="J8" s="89">
        <v>0</v>
      </c>
      <c r="K8" s="36">
        <f>(Table1[[#This Row],[unsub]]/Table1[[#This Row],[unique-sends]])*100</f>
        <v>0.28055535572980361</v>
      </c>
      <c r="L8" s="39">
        <f>Table1[[#This Row],[unique-opens]] / Table1[[#This Row],[unique-sends]] * 100</f>
        <v>59.038918063448676</v>
      </c>
      <c r="M8" s="40">
        <f>Table1[[#This Row],[unique-clicks]] / Table1[[#This Row],[unique-sends]] * 100</f>
        <v>2.4602546579382776</v>
      </c>
      <c r="N8" s="37">
        <f>Table1[[#This Row],[unique-clicks]] / Table1[[#This Row],[unique-opens]] * 100</f>
        <v>4.1671743633483613</v>
      </c>
      <c r="O8" s="37">
        <f>(MIN(Table1[[#This Row],[unique-opens]]/Table1[[#This Row],[unique-sends]],1)*50
 + MIN(Table1[[#This Row],[unique-clicks]]/Table1[[#This Row],[unique-sends]],1)*50)
 * (1 + MIN(Table1[[#This Row],[unique-clicks]]/Table1[[#This Row],[unique-sends]],1))
 - ((Table1[[#This Row],[unsub]]/Table1[[#This Row],[unique-sends]]*100)*2)</f>
        <v>30.944993779969586</v>
      </c>
      <c r="P8" s="37" t="str">
        <f>IF(Table1[[#This Row],[Engagement Score]]&lt;30,"🔴",IF(Table1[[#This Row],[Engagement Score]]&lt;40,"🟡","🟢"))</f>
        <v>🟡</v>
      </c>
      <c r="Q8" s="10">
        <v>72.099999999999994</v>
      </c>
      <c r="R8" s="11">
        <v>15.6</v>
      </c>
      <c r="S8" s="11">
        <v>12.3</v>
      </c>
      <c r="T8" s="109" t="s">
        <v>230</v>
      </c>
    </row>
    <row r="9" spans="1:20">
      <c r="A9" s="110">
        <v>73</v>
      </c>
      <c r="B9" s="115" t="s">
        <v>277</v>
      </c>
      <c r="C9" s="116" t="s">
        <v>236</v>
      </c>
      <c r="D9" s="117" t="s">
        <v>21</v>
      </c>
      <c r="E9" s="118" t="s">
        <v>68</v>
      </c>
      <c r="F9" s="119" t="s">
        <v>26</v>
      </c>
      <c r="G9" s="120">
        <v>12</v>
      </c>
      <c r="H9" s="121">
        <v>8</v>
      </c>
      <c r="I9" s="122">
        <v>3</v>
      </c>
      <c r="J9" s="112">
        <v>0</v>
      </c>
      <c r="K9" s="106">
        <f>(Table1[[#This Row],[unsub]]/Table1[[#This Row],[unique-sends]])*100</f>
        <v>0</v>
      </c>
      <c r="L9" s="123">
        <f>Table1[[#This Row],[unique-opens]] / Table1[[#This Row],[unique-sends]] * 100</f>
        <v>93.333333333333329</v>
      </c>
      <c r="M9" s="124">
        <f>Table1[[#This Row],[unique-clicks]] / Table1[[#This Row],[unique-sends]] * 100</f>
        <v>21.333333333333336</v>
      </c>
      <c r="N9" s="124">
        <f>Table1[[#This Row],[unique-clicks]] / Table1[[#This Row],[unique-opens]] * 100</f>
        <v>22.857142857142858</v>
      </c>
      <c r="O9" s="124">
        <f>(MIN(Table1[[#This Row],[unique-opens]]/Table1[[#This Row],[unique-sends]],1)*50
 + MIN(Table1[[#This Row],[unique-clicks]]/Table1[[#This Row],[unique-sends]],1)*50)
 * (1 + MIN(Table1[[#This Row],[unique-clicks]]/Table1[[#This Row],[unique-sends]],1))
 - ((Table1[[#This Row],[unsub]]/Table1[[#This Row],[unique-sends]]*100)*2)</f>
        <v>69.564444444444447</v>
      </c>
      <c r="P9" s="124" t="str">
        <f>IF(Table1[[#This Row],[Engagement Score]]&lt;30,"🔴",IF(Table1[[#This Row],[Engagement Score]]&lt;40,"🟡","🟢"))</f>
        <v>🟢</v>
      </c>
      <c r="Q9" s="111">
        <v>33.299999999999997</v>
      </c>
      <c r="R9" s="112">
        <v>66.7</v>
      </c>
      <c r="S9" s="112">
        <v>0</v>
      </c>
      <c r="T9" s="113" t="s">
        <v>237</v>
      </c>
    </row>
  </sheetData>
  <conditionalFormatting sqref="M1:M9">
    <cfRule type="cellIs" dxfId="1" priority="1" operator="greaterThan">
      <formula>20</formula>
    </cfRule>
  </conditionalFormatting>
  <conditionalFormatting sqref="T1:T9">
    <cfRule type="duplicateValues" dxfId="0" priority="2"/>
  </conditionalFormatting>
  <hyperlinks>
    <hyperlink ref="T1" r:id="rId1" xr:uid="{75C6A2ED-7731-4E07-9066-1C27D583767E}"/>
    <hyperlink ref="T2" r:id="rId2" xr:uid="{3A8567F9-5212-4237-BC1C-E8DC2375FB9A}"/>
    <hyperlink ref="T3" r:id="rId3" xr:uid="{141E6906-54C9-4C54-B9B1-89BAD101ECD8}"/>
    <hyperlink ref="T4" r:id="rId4" xr:uid="{E920A24F-9232-4066-8E4B-C4A8662F98DB}"/>
    <hyperlink ref="T5" r:id="rId5" xr:uid="{D56379F4-D3BE-44A8-9B8C-F0CD767D7900}"/>
    <hyperlink ref="T6" r:id="rId6" xr:uid="{29A7C07C-E934-4E01-B8BE-3D90E6F5E5BB}"/>
    <hyperlink ref="T7" r:id="rId7" xr:uid="{8F8942AF-F696-4D9A-B2D1-5E773CD6D5AE}"/>
    <hyperlink ref="T8" r:id="rId8" xr:uid="{D7E5471D-C075-4CE4-9BAB-DC7F81ABFEAC}"/>
    <hyperlink ref="T9" r:id="rId9" xr:uid="{3DD11708-CF5B-4131-9ACE-1BD22369FEB1}"/>
    <hyperlink ref="B9" r:id="rId10" location="/@cbus/sname:prod/journey-optimizer/journey/report/#/workspace/template/ajo-journey/727fc2cd-601b-4192-b18b-d7acd74f3439" xr:uid="{D7EA92CE-289A-46AA-B8C8-B96DF69FC7B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77fa6b-bca0-4864-8d50-ac77b155e846" xsi:nil="true"/>
    <lcf76f155ced4ddcb4097134ff3c332f xmlns="c0eeac73-9918-465e-bdd8-785547fbc2d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AB1339F159CD428AD0F5BA99C368F2" ma:contentTypeVersion="15" ma:contentTypeDescription="Create a new document." ma:contentTypeScope="" ma:versionID="d3c12e32d35f281fc2cfbff59ce227b1">
  <xsd:schema xmlns:xsd="http://www.w3.org/2001/XMLSchema" xmlns:xs="http://www.w3.org/2001/XMLSchema" xmlns:p="http://schemas.microsoft.com/office/2006/metadata/properties" xmlns:ns2="c0eeac73-9918-465e-bdd8-785547fbc2d9" xmlns:ns3="d777fa6b-bca0-4864-8d50-ac77b155e846" targetNamespace="http://schemas.microsoft.com/office/2006/metadata/properties" ma:root="true" ma:fieldsID="8cccd8974b01cfe5577657fdcd6042cb" ns2:_="" ns3:_="">
    <xsd:import namespace="c0eeac73-9918-465e-bdd8-785547fbc2d9"/>
    <xsd:import namespace="d777fa6b-bca0-4864-8d50-ac77b155e84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eac73-9918-465e-bdd8-785547fbc2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74a3df9-e9b9-4334-a53f-c9be2cd3e37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77fa6b-bca0-4864-8d50-ac77b155e84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e6e43f-588e-4f64-8fef-53b151ba83ec}" ma:internalName="TaxCatchAll" ma:showField="CatchAllData" ma:web="d777fa6b-bca0-4864-8d50-ac77b155e84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B0AA99-F2C0-47AC-BEFF-11024E9EC09D}"/>
</file>

<file path=customXml/itemProps2.xml><?xml version="1.0" encoding="utf-8"?>
<ds:datastoreItem xmlns:ds="http://schemas.openxmlformats.org/officeDocument/2006/customXml" ds:itemID="{EE0ECD7C-9783-4AF2-B19D-668092346D66}"/>
</file>

<file path=customXml/itemProps3.xml><?xml version="1.0" encoding="utf-8"?>
<ds:datastoreItem xmlns:ds="http://schemas.openxmlformats.org/officeDocument/2006/customXml" ds:itemID="{4EBF9AAC-F6EE-4F9D-A850-BD5FE7C93CA6}"/>
</file>

<file path=docMetadata/LabelInfo.xml><?xml version="1.0" encoding="utf-8"?>
<clbl:labelList xmlns:clbl="http://schemas.microsoft.com/office/2020/mipLabelMetadata">
  <clbl:label id="{16322807-cf6a-46b9-ae21-fb47e54e5b93}" enabled="1" method="Privileged" siteId="{b9cf4b28-87bb-4f3d-b522-6767a5f04c0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Donna Galletta</dc:creator>
  <cp:keywords/>
  <dc:description/>
  <cp:lastModifiedBy/>
  <cp:revision/>
  <dcterms:created xsi:type="dcterms:W3CDTF">2024-09-30T04:35:43Z</dcterms:created>
  <dcterms:modified xsi:type="dcterms:W3CDTF">2025-12-08T04:05:11Z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322807-cf6a-46b9-ae21-fb47e54e5b93_Enabled">
    <vt:lpwstr>true</vt:lpwstr>
  </property>
  <property fmtid="{D5CDD505-2E9C-101B-9397-08002B2CF9AE}" pid="3" name="MSIP_Label_16322807-cf6a-46b9-ae21-fb47e54e5b93_SetDate">
    <vt:lpwstr>2024-09-30T04:42:54Z</vt:lpwstr>
  </property>
  <property fmtid="{D5CDD505-2E9C-101B-9397-08002B2CF9AE}" pid="4" name="MSIP_Label_16322807-cf6a-46b9-ae21-fb47e54e5b93_Method">
    <vt:lpwstr>Privileged</vt:lpwstr>
  </property>
  <property fmtid="{D5CDD505-2E9C-101B-9397-08002B2CF9AE}" pid="5" name="MSIP_Label_16322807-cf6a-46b9-ae21-fb47e54e5b93_Name">
    <vt:lpwstr>General</vt:lpwstr>
  </property>
  <property fmtid="{D5CDD505-2E9C-101B-9397-08002B2CF9AE}" pid="6" name="MSIP_Label_16322807-cf6a-46b9-ae21-fb47e54e5b93_SiteId">
    <vt:lpwstr>b9cf4b28-87bb-4f3d-b522-6767a5f04c01</vt:lpwstr>
  </property>
  <property fmtid="{D5CDD505-2E9C-101B-9397-08002B2CF9AE}" pid="7" name="MSIP_Label_16322807-cf6a-46b9-ae21-fb47e54e5b93_ActionId">
    <vt:lpwstr>9ca49759-395b-4b84-84dc-24d488b59a5f</vt:lpwstr>
  </property>
  <property fmtid="{D5CDD505-2E9C-101B-9397-08002B2CF9AE}" pid="8" name="MSIP_Label_16322807-cf6a-46b9-ae21-fb47e54e5b93_ContentBits">
    <vt:lpwstr>0</vt:lpwstr>
  </property>
  <property fmtid="{D5CDD505-2E9C-101B-9397-08002B2CF9AE}" pid="9" name="ContentTypeId">
    <vt:lpwstr>0x0101005CAB1339F159CD428AD0F5BA99C368F2</vt:lpwstr>
  </property>
  <property fmtid="{D5CDD505-2E9C-101B-9397-08002B2CF9AE}" pid="10" name="MediaServiceImageTags">
    <vt:lpwstr/>
  </property>
</Properties>
</file>