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mc:AlternateContent xmlns:mc="http://schemas.openxmlformats.org/markup-compatibility/2006">
    <mc:Choice Requires="x15">
      <x15ac:absPath xmlns:x15ac="http://schemas.microsoft.com/office/spreadsheetml/2010/11/ac" url="https://cbussuper.sharepoint.com/sites/MarketingTechTeam/Shared Documents/Reporting/FY26/"/>
    </mc:Choice>
  </mc:AlternateContent>
  <xr:revisionPtr revIDLastSave="0" documentId="8_{E7220757-D1BA-48C6-ABD8-3BFB5B3AC941}" xr6:coauthVersionLast="47" xr6:coauthVersionMax="47" xr10:uidLastSave="{00000000-0000-0000-0000-000000000000}"/>
  <bookViews>
    <workbookView xWindow="-110" yWindow="-110" windowWidth="22780" windowHeight="1454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08" i="1" l="1"/>
  <c r="N309" i="1"/>
  <c r="N310" i="1"/>
  <c r="N311" i="1"/>
  <c r="M308" i="1"/>
  <c r="M309" i="1"/>
  <c r="M310" i="1"/>
  <c r="M311" i="1"/>
  <c r="L308" i="1"/>
  <c r="L309" i="1"/>
  <c r="L310" i="1"/>
  <c r="L311" i="1"/>
  <c r="K308" i="1"/>
  <c r="K309" i="1"/>
  <c r="K310" i="1"/>
  <c r="K311" i="1"/>
  <c r="O311" i="1"/>
  <c r="P311" i="1"/>
  <c r="O310" i="1"/>
  <c r="P310" i="1"/>
  <c r="O309" i="1"/>
  <c r="P309" i="1"/>
  <c r="O308" i="1"/>
  <c r="P308" i="1"/>
  <c r="N306" i="1"/>
  <c r="N307" i="1"/>
  <c r="M306" i="1"/>
  <c r="M307" i="1"/>
  <c r="L306" i="1"/>
  <c r="L307" i="1"/>
  <c r="K306" i="1"/>
  <c r="K307" i="1"/>
  <c r="O307" i="1"/>
  <c r="P307" i="1"/>
  <c r="O306" i="1"/>
  <c r="P306" i="1"/>
  <c r="N304" i="1"/>
  <c r="N305" i="1"/>
  <c r="M304" i="1"/>
  <c r="M305" i="1"/>
  <c r="L304" i="1"/>
  <c r="L305" i="1"/>
  <c r="K304" i="1"/>
  <c r="K305" i="1"/>
  <c r="O305" i="1"/>
  <c r="P305" i="1"/>
  <c r="O304" i="1"/>
  <c r="P304" i="1"/>
  <c r="O302" i="1"/>
  <c r="P302" i="1" s="1"/>
  <c r="O303" i="1"/>
  <c r="P303" i="1" s="1"/>
  <c r="N302" i="1"/>
  <c r="N303" i="1"/>
  <c r="M302" i="1"/>
  <c r="M303" i="1"/>
  <c r="L302" i="1"/>
  <c r="L303" i="1"/>
  <c r="K302" i="1"/>
  <c r="K303" i="1"/>
  <c r="O3" i="1"/>
  <c r="P3" i="1" s="1"/>
  <c r="O4" i="1"/>
  <c r="P4" i="1" s="1"/>
  <c r="O5" i="1"/>
  <c r="P5" i="1" s="1"/>
  <c r="O6" i="1"/>
  <c r="P6" i="1" s="1"/>
  <c r="O7" i="1"/>
  <c r="P7" i="1" s="1"/>
  <c r="O8" i="1"/>
  <c r="P8" i="1" s="1"/>
  <c r="O9" i="1"/>
  <c r="P9" i="1" s="1"/>
  <c r="O10" i="1"/>
  <c r="P10" i="1" s="1"/>
  <c r="O11" i="1"/>
  <c r="P11" i="1" s="1"/>
  <c r="O12" i="1"/>
  <c r="P12" i="1" s="1"/>
  <c r="O13" i="1"/>
  <c r="P13" i="1" s="1"/>
  <c r="O14" i="1"/>
  <c r="P14" i="1" s="1"/>
  <c r="O15" i="1"/>
  <c r="P15" i="1" s="1"/>
  <c r="O16" i="1"/>
  <c r="P16" i="1" s="1"/>
  <c r="O17" i="1"/>
  <c r="P17" i="1" s="1"/>
  <c r="O18" i="1"/>
  <c r="P18" i="1" s="1"/>
  <c r="O19" i="1"/>
  <c r="P19" i="1" s="1"/>
  <c r="O20" i="1"/>
  <c r="P20" i="1" s="1"/>
  <c r="O21" i="1"/>
  <c r="P21" i="1" s="1"/>
  <c r="O22" i="1"/>
  <c r="P22" i="1" s="1"/>
  <c r="O23" i="1"/>
  <c r="P23" i="1" s="1"/>
  <c r="O24" i="1"/>
  <c r="P24" i="1" s="1"/>
  <c r="O25" i="1"/>
  <c r="P25" i="1" s="1"/>
  <c r="O26" i="1"/>
  <c r="P26" i="1" s="1"/>
  <c r="O27" i="1"/>
  <c r="P27" i="1" s="1"/>
  <c r="O28" i="1"/>
  <c r="P28" i="1" s="1"/>
  <c r="O29" i="1"/>
  <c r="P29" i="1" s="1"/>
  <c r="O30" i="1"/>
  <c r="P30" i="1" s="1"/>
  <c r="O31" i="1"/>
  <c r="P31" i="1" s="1"/>
  <c r="O32" i="1"/>
  <c r="P32" i="1" s="1"/>
  <c r="O33" i="1"/>
  <c r="P33" i="1" s="1"/>
  <c r="O34" i="1"/>
  <c r="P34" i="1" s="1"/>
  <c r="O35" i="1"/>
  <c r="P35" i="1" s="1"/>
  <c r="O36" i="1"/>
  <c r="P36" i="1" s="1"/>
  <c r="O37" i="1"/>
  <c r="P37" i="1" s="1"/>
  <c r="O38" i="1"/>
  <c r="P38" i="1" s="1"/>
  <c r="O39" i="1"/>
  <c r="P39" i="1" s="1"/>
  <c r="O40" i="1"/>
  <c r="P40" i="1" s="1"/>
  <c r="O41" i="1"/>
  <c r="P41" i="1" s="1"/>
  <c r="O42" i="1"/>
  <c r="P42" i="1" s="1"/>
  <c r="O43" i="1"/>
  <c r="P43" i="1" s="1"/>
  <c r="O44" i="1"/>
  <c r="P44" i="1" s="1"/>
  <c r="O45" i="1"/>
  <c r="P45" i="1" s="1"/>
  <c r="O46" i="1"/>
  <c r="P46" i="1" s="1"/>
  <c r="O47" i="1"/>
  <c r="P47" i="1" s="1"/>
  <c r="O48" i="1"/>
  <c r="P48" i="1" s="1"/>
  <c r="O49" i="1"/>
  <c r="P49" i="1" s="1"/>
  <c r="O50" i="1"/>
  <c r="P50" i="1" s="1"/>
  <c r="O51" i="1"/>
  <c r="P51" i="1" s="1"/>
  <c r="O52" i="1"/>
  <c r="P52" i="1" s="1"/>
  <c r="O53" i="1"/>
  <c r="P53" i="1" s="1"/>
  <c r="O54" i="1"/>
  <c r="P54" i="1" s="1"/>
  <c r="O55" i="1"/>
  <c r="P55" i="1" s="1"/>
  <c r="O56" i="1"/>
  <c r="P56" i="1" s="1"/>
  <c r="O57" i="1"/>
  <c r="P57" i="1" s="1"/>
  <c r="O58" i="1"/>
  <c r="P58" i="1" s="1"/>
  <c r="O59" i="1"/>
  <c r="P59" i="1" s="1"/>
  <c r="O60" i="1"/>
  <c r="P60" i="1" s="1"/>
  <c r="O61" i="1"/>
  <c r="P61" i="1" s="1"/>
  <c r="O62" i="1"/>
  <c r="P62" i="1" s="1"/>
  <c r="O63" i="1"/>
  <c r="P63" i="1" s="1"/>
  <c r="O64" i="1"/>
  <c r="P64" i="1" s="1"/>
  <c r="O65" i="1"/>
  <c r="P65" i="1" s="1"/>
  <c r="O66" i="1"/>
  <c r="P66" i="1" s="1"/>
  <c r="O67" i="1"/>
  <c r="P67" i="1" s="1"/>
  <c r="O68" i="1"/>
  <c r="P68" i="1" s="1"/>
  <c r="O69" i="1"/>
  <c r="P69" i="1" s="1"/>
  <c r="O70" i="1"/>
  <c r="P70" i="1" s="1"/>
  <c r="O71" i="1"/>
  <c r="P71" i="1" s="1"/>
  <c r="O72" i="1"/>
  <c r="P72" i="1" s="1"/>
  <c r="O73" i="1"/>
  <c r="P73" i="1" s="1"/>
  <c r="O74" i="1"/>
  <c r="P74" i="1" s="1"/>
  <c r="O75" i="1"/>
  <c r="P75" i="1" s="1"/>
  <c r="O76" i="1"/>
  <c r="P76" i="1" s="1"/>
  <c r="O77" i="1"/>
  <c r="P77" i="1" s="1"/>
  <c r="O78" i="1"/>
  <c r="P78" i="1" s="1"/>
  <c r="O79" i="1"/>
  <c r="P79" i="1" s="1"/>
  <c r="O80" i="1"/>
  <c r="P80" i="1" s="1"/>
  <c r="O81" i="1"/>
  <c r="P81" i="1" s="1"/>
  <c r="O82" i="1"/>
  <c r="P82" i="1" s="1"/>
  <c r="O83" i="1"/>
  <c r="P83" i="1" s="1"/>
  <c r="O84" i="1"/>
  <c r="P84" i="1" s="1"/>
  <c r="O85" i="1"/>
  <c r="P85" i="1" s="1"/>
  <c r="O86" i="1"/>
  <c r="P86" i="1" s="1"/>
  <c r="O87" i="1"/>
  <c r="P87" i="1" s="1"/>
  <c r="O88" i="1"/>
  <c r="P88" i="1" s="1"/>
  <c r="O89" i="1"/>
  <c r="P89" i="1" s="1"/>
  <c r="O90" i="1"/>
  <c r="P90" i="1" s="1"/>
  <c r="O91" i="1"/>
  <c r="P91" i="1" s="1"/>
  <c r="O92" i="1"/>
  <c r="P92" i="1" s="1"/>
  <c r="O93" i="1"/>
  <c r="P93" i="1" s="1"/>
  <c r="O94" i="1"/>
  <c r="P94" i="1" s="1"/>
  <c r="O95" i="1"/>
  <c r="P95" i="1" s="1"/>
  <c r="O96" i="1"/>
  <c r="P96" i="1" s="1"/>
  <c r="O97" i="1"/>
  <c r="P97" i="1" s="1"/>
  <c r="O98" i="1"/>
  <c r="P98" i="1" s="1"/>
  <c r="O99" i="1"/>
  <c r="P99" i="1" s="1"/>
  <c r="O100" i="1"/>
  <c r="P100" i="1" s="1"/>
  <c r="O101" i="1"/>
  <c r="P101" i="1" s="1"/>
  <c r="O102" i="1"/>
  <c r="P102" i="1" s="1"/>
  <c r="O103" i="1"/>
  <c r="P103" i="1" s="1"/>
  <c r="O104" i="1"/>
  <c r="P104" i="1" s="1"/>
  <c r="O105" i="1"/>
  <c r="P105" i="1" s="1"/>
  <c r="O106" i="1"/>
  <c r="P106" i="1" s="1"/>
  <c r="O107" i="1"/>
  <c r="P107" i="1" s="1"/>
  <c r="O108" i="1"/>
  <c r="P108" i="1" s="1"/>
  <c r="O109" i="1"/>
  <c r="P109" i="1" s="1"/>
  <c r="O110" i="1"/>
  <c r="P110" i="1" s="1"/>
  <c r="O111" i="1"/>
  <c r="P111" i="1" s="1"/>
  <c r="O112" i="1"/>
  <c r="P112" i="1" s="1"/>
  <c r="O113" i="1"/>
  <c r="P113" i="1" s="1"/>
  <c r="O114" i="1"/>
  <c r="P114" i="1" s="1"/>
  <c r="O115" i="1"/>
  <c r="P115" i="1" s="1"/>
  <c r="O116" i="1"/>
  <c r="P116" i="1" s="1"/>
  <c r="O117" i="1"/>
  <c r="P117" i="1" s="1"/>
  <c r="O118" i="1"/>
  <c r="P118" i="1" s="1"/>
  <c r="O119" i="1"/>
  <c r="P119" i="1" s="1"/>
  <c r="O120" i="1"/>
  <c r="P120" i="1" s="1"/>
  <c r="O121" i="1"/>
  <c r="P121" i="1" s="1"/>
  <c r="O122" i="1"/>
  <c r="P122" i="1" s="1"/>
  <c r="O123" i="1"/>
  <c r="P123" i="1" s="1"/>
  <c r="O124" i="1"/>
  <c r="P124" i="1" s="1"/>
  <c r="O125" i="1"/>
  <c r="P125" i="1" s="1"/>
  <c r="O126" i="1"/>
  <c r="P126" i="1" s="1"/>
  <c r="O127" i="1"/>
  <c r="P127" i="1" s="1"/>
  <c r="O128" i="1"/>
  <c r="P128" i="1" s="1"/>
  <c r="O129" i="1"/>
  <c r="P129" i="1" s="1"/>
  <c r="O130" i="1"/>
  <c r="P130" i="1" s="1"/>
  <c r="O131" i="1"/>
  <c r="P131" i="1" s="1"/>
  <c r="O132" i="1"/>
  <c r="P132" i="1" s="1"/>
  <c r="O133" i="1"/>
  <c r="P133" i="1" s="1"/>
  <c r="O134" i="1"/>
  <c r="P134" i="1" s="1"/>
  <c r="O135" i="1"/>
  <c r="P135" i="1" s="1"/>
  <c r="O136" i="1"/>
  <c r="P136" i="1" s="1"/>
  <c r="O137" i="1"/>
  <c r="P137" i="1" s="1"/>
  <c r="O138" i="1"/>
  <c r="P138" i="1" s="1"/>
  <c r="O139" i="1"/>
  <c r="P139" i="1" s="1"/>
  <c r="O140" i="1"/>
  <c r="P140" i="1" s="1"/>
  <c r="O141" i="1"/>
  <c r="P141" i="1" s="1"/>
  <c r="O142" i="1"/>
  <c r="P142" i="1" s="1"/>
  <c r="O143" i="1"/>
  <c r="P143" i="1" s="1"/>
  <c r="O144" i="1"/>
  <c r="P144" i="1" s="1"/>
  <c r="O145" i="1"/>
  <c r="P145" i="1" s="1"/>
  <c r="O146" i="1"/>
  <c r="P146" i="1" s="1"/>
  <c r="O147" i="1"/>
  <c r="P147" i="1" s="1"/>
  <c r="O148" i="1"/>
  <c r="P148" i="1" s="1"/>
  <c r="O149" i="1"/>
  <c r="P149" i="1" s="1"/>
  <c r="O150" i="1"/>
  <c r="P150" i="1" s="1"/>
  <c r="O151" i="1"/>
  <c r="P151" i="1" s="1"/>
  <c r="O152" i="1"/>
  <c r="P152" i="1" s="1"/>
  <c r="O153" i="1"/>
  <c r="P153" i="1" s="1"/>
  <c r="O154" i="1"/>
  <c r="P154" i="1" s="1"/>
  <c r="O155" i="1"/>
  <c r="P155" i="1" s="1"/>
  <c r="O156" i="1"/>
  <c r="P156" i="1" s="1"/>
  <c r="O157" i="1"/>
  <c r="P157" i="1" s="1"/>
  <c r="O158" i="1"/>
  <c r="P158" i="1" s="1"/>
  <c r="O159" i="1"/>
  <c r="P159" i="1" s="1"/>
  <c r="O160" i="1"/>
  <c r="P160" i="1" s="1"/>
  <c r="O161" i="1"/>
  <c r="P161" i="1" s="1"/>
  <c r="O162" i="1"/>
  <c r="P162" i="1" s="1"/>
  <c r="O163" i="1"/>
  <c r="P163" i="1" s="1"/>
  <c r="O164" i="1"/>
  <c r="P164" i="1" s="1"/>
  <c r="O165" i="1"/>
  <c r="P165" i="1" s="1"/>
  <c r="O166" i="1"/>
  <c r="P166" i="1" s="1"/>
  <c r="O167" i="1"/>
  <c r="P167" i="1" s="1"/>
  <c r="O168" i="1"/>
  <c r="P168" i="1" s="1"/>
  <c r="O169" i="1"/>
  <c r="P169" i="1" s="1"/>
  <c r="O170" i="1"/>
  <c r="P170" i="1" s="1"/>
  <c r="O171" i="1"/>
  <c r="P171" i="1" s="1"/>
  <c r="O172" i="1"/>
  <c r="P172" i="1" s="1"/>
  <c r="O173" i="1"/>
  <c r="P173" i="1" s="1"/>
  <c r="O174" i="1"/>
  <c r="P174" i="1" s="1"/>
  <c r="O175" i="1"/>
  <c r="P175" i="1" s="1"/>
  <c r="O176" i="1"/>
  <c r="P176" i="1" s="1"/>
  <c r="O177" i="1"/>
  <c r="P177" i="1" s="1"/>
  <c r="O178" i="1"/>
  <c r="P178" i="1" s="1"/>
  <c r="O179" i="1"/>
  <c r="P179" i="1" s="1"/>
  <c r="O180" i="1"/>
  <c r="P180" i="1" s="1"/>
  <c r="O181" i="1"/>
  <c r="P181" i="1" s="1"/>
  <c r="O182" i="1"/>
  <c r="P182" i="1" s="1"/>
  <c r="O183" i="1"/>
  <c r="P183" i="1" s="1"/>
  <c r="O184" i="1"/>
  <c r="P184" i="1" s="1"/>
  <c r="O185" i="1"/>
  <c r="P185" i="1" s="1"/>
  <c r="O186" i="1"/>
  <c r="P186" i="1" s="1"/>
  <c r="O187" i="1"/>
  <c r="P187" i="1" s="1"/>
  <c r="O188" i="1"/>
  <c r="P188" i="1" s="1"/>
  <c r="O189" i="1"/>
  <c r="P189" i="1" s="1"/>
  <c r="O190" i="1"/>
  <c r="P190" i="1" s="1"/>
  <c r="O191" i="1"/>
  <c r="P191" i="1" s="1"/>
  <c r="O192" i="1"/>
  <c r="P192" i="1" s="1"/>
  <c r="O193" i="1"/>
  <c r="P193" i="1" s="1"/>
  <c r="O194" i="1"/>
  <c r="P194" i="1" s="1"/>
  <c r="O195" i="1"/>
  <c r="P195" i="1" s="1"/>
  <c r="O196" i="1"/>
  <c r="P196" i="1" s="1"/>
  <c r="O197" i="1"/>
  <c r="P197" i="1" s="1"/>
  <c r="O198" i="1"/>
  <c r="P198" i="1" s="1"/>
  <c r="O199" i="1"/>
  <c r="P199" i="1" s="1"/>
  <c r="O200" i="1"/>
  <c r="P200" i="1" s="1"/>
  <c r="O201" i="1"/>
  <c r="P201" i="1" s="1"/>
  <c r="O202" i="1"/>
  <c r="P202" i="1" s="1"/>
  <c r="O203" i="1"/>
  <c r="P203" i="1" s="1"/>
  <c r="O204" i="1"/>
  <c r="P204" i="1" s="1"/>
  <c r="O205" i="1"/>
  <c r="P205" i="1" s="1"/>
  <c r="O206" i="1"/>
  <c r="P206" i="1" s="1"/>
  <c r="O207" i="1"/>
  <c r="P207" i="1" s="1"/>
  <c r="O208" i="1"/>
  <c r="P208" i="1" s="1"/>
  <c r="O209" i="1"/>
  <c r="P209" i="1" s="1"/>
  <c r="O210" i="1"/>
  <c r="P210" i="1" s="1"/>
  <c r="O211" i="1"/>
  <c r="P211" i="1" s="1"/>
  <c r="O212" i="1"/>
  <c r="P212" i="1" s="1"/>
  <c r="O213" i="1"/>
  <c r="P213" i="1" s="1"/>
  <c r="O214" i="1"/>
  <c r="P214" i="1" s="1"/>
  <c r="O215" i="1"/>
  <c r="P215" i="1" s="1"/>
  <c r="O216" i="1"/>
  <c r="P216" i="1" s="1"/>
  <c r="O217" i="1"/>
  <c r="P217" i="1" s="1"/>
  <c r="O218" i="1"/>
  <c r="P218" i="1" s="1"/>
  <c r="O219" i="1"/>
  <c r="P219" i="1" s="1"/>
  <c r="O220" i="1"/>
  <c r="P220" i="1" s="1"/>
  <c r="O221" i="1"/>
  <c r="P221" i="1" s="1"/>
  <c r="O222" i="1"/>
  <c r="P222" i="1" s="1"/>
  <c r="O223" i="1"/>
  <c r="P223" i="1" s="1"/>
  <c r="O224" i="1"/>
  <c r="P224" i="1" s="1"/>
  <c r="O225" i="1"/>
  <c r="P225" i="1" s="1"/>
  <c r="O226" i="1"/>
  <c r="P226" i="1" s="1"/>
  <c r="O227" i="1"/>
  <c r="P227" i="1" s="1"/>
  <c r="O228" i="1"/>
  <c r="P228" i="1" s="1"/>
  <c r="O229" i="1"/>
  <c r="P229" i="1" s="1"/>
  <c r="O230" i="1"/>
  <c r="P230" i="1" s="1"/>
  <c r="O231" i="1"/>
  <c r="P231" i="1" s="1"/>
  <c r="O232" i="1"/>
  <c r="P232" i="1" s="1"/>
  <c r="O233" i="1"/>
  <c r="P233" i="1" s="1"/>
  <c r="O234" i="1"/>
  <c r="P234" i="1" s="1"/>
  <c r="O235" i="1"/>
  <c r="P235" i="1" s="1"/>
  <c r="O236" i="1"/>
  <c r="P236" i="1" s="1"/>
  <c r="O237" i="1"/>
  <c r="P237" i="1" s="1"/>
  <c r="O238" i="1"/>
  <c r="P238" i="1" s="1"/>
  <c r="O239" i="1"/>
  <c r="P239" i="1" s="1"/>
  <c r="O240" i="1"/>
  <c r="P240" i="1" s="1"/>
  <c r="O241" i="1"/>
  <c r="P241" i="1" s="1"/>
  <c r="O242" i="1"/>
  <c r="P242" i="1" s="1"/>
  <c r="O243" i="1"/>
  <c r="P243" i="1" s="1"/>
  <c r="O244" i="1"/>
  <c r="P244" i="1" s="1"/>
  <c r="O245" i="1"/>
  <c r="P245" i="1" s="1"/>
  <c r="O246" i="1"/>
  <c r="P246" i="1" s="1"/>
  <c r="O247" i="1"/>
  <c r="P247" i="1" s="1"/>
  <c r="O248" i="1"/>
  <c r="P248" i="1" s="1"/>
  <c r="O249" i="1"/>
  <c r="P249" i="1" s="1"/>
  <c r="O250" i="1"/>
  <c r="P250" i="1" s="1"/>
  <c r="O251" i="1"/>
  <c r="P251" i="1" s="1"/>
  <c r="O252" i="1"/>
  <c r="P252" i="1" s="1"/>
  <c r="O253" i="1"/>
  <c r="P253" i="1" s="1"/>
  <c r="O254" i="1"/>
  <c r="P254" i="1" s="1"/>
  <c r="O255" i="1"/>
  <c r="P255" i="1" s="1"/>
  <c r="O256" i="1"/>
  <c r="P256" i="1" s="1"/>
  <c r="O257" i="1"/>
  <c r="P257" i="1" s="1"/>
  <c r="O258" i="1"/>
  <c r="P258" i="1" s="1"/>
  <c r="O259" i="1"/>
  <c r="P259" i="1" s="1"/>
  <c r="O260" i="1"/>
  <c r="P260" i="1" s="1"/>
  <c r="O261" i="1"/>
  <c r="P261" i="1" s="1"/>
  <c r="O262" i="1"/>
  <c r="P262" i="1" s="1"/>
  <c r="O263" i="1"/>
  <c r="P263" i="1" s="1"/>
  <c r="O264" i="1"/>
  <c r="P264" i="1" s="1"/>
  <c r="O265" i="1"/>
  <c r="P265" i="1" s="1"/>
  <c r="O266" i="1"/>
  <c r="P266" i="1" s="1"/>
  <c r="O267" i="1"/>
  <c r="P267" i="1" s="1"/>
  <c r="O268" i="1"/>
  <c r="P268" i="1" s="1"/>
  <c r="O269" i="1"/>
  <c r="P269" i="1" s="1"/>
  <c r="O270" i="1"/>
  <c r="P270" i="1" s="1"/>
  <c r="O271" i="1"/>
  <c r="P271" i="1" s="1"/>
  <c r="O272" i="1"/>
  <c r="P272" i="1" s="1"/>
  <c r="O273" i="1"/>
  <c r="P273" i="1" s="1"/>
  <c r="O274" i="1"/>
  <c r="P274" i="1" s="1"/>
  <c r="O275" i="1"/>
  <c r="P275" i="1" s="1"/>
  <c r="O276" i="1"/>
  <c r="P276" i="1" s="1"/>
  <c r="O277" i="1"/>
  <c r="P277" i="1" s="1"/>
  <c r="O278" i="1"/>
  <c r="P278" i="1" s="1"/>
  <c r="O279" i="1"/>
  <c r="P279" i="1" s="1"/>
  <c r="O280" i="1"/>
  <c r="P280" i="1" s="1"/>
  <c r="O281" i="1"/>
  <c r="P281" i="1" s="1"/>
  <c r="O282" i="1"/>
  <c r="P282" i="1" s="1"/>
  <c r="O283" i="1"/>
  <c r="P283" i="1" s="1"/>
  <c r="O284" i="1"/>
  <c r="P284" i="1" s="1"/>
  <c r="O285" i="1"/>
  <c r="P285" i="1" s="1"/>
  <c r="O286" i="1"/>
  <c r="P286" i="1" s="1"/>
  <c r="O287" i="1"/>
  <c r="P287" i="1" s="1"/>
  <c r="O288" i="1"/>
  <c r="P288" i="1" s="1"/>
  <c r="O289" i="1"/>
  <c r="P289" i="1" s="1"/>
  <c r="O290" i="1"/>
  <c r="P290" i="1" s="1"/>
  <c r="O291" i="1"/>
  <c r="P291" i="1" s="1"/>
  <c r="O292" i="1"/>
  <c r="P292" i="1" s="1"/>
  <c r="O293" i="1"/>
  <c r="P293" i="1" s="1"/>
  <c r="O294" i="1"/>
  <c r="P294" i="1" s="1"/>
  <c r="O295" i="1"/>
  <c r="P295" i="1" s="1"/>
  <c r="O296" i="1"/>
  <c r="P296" i="1" s="1"/>
  <c r="O297" i="1"/>
  <c r="P297" i="1" s="1"/>
  <c r="O298" i="1"/>
  <c r="P298" i="1" s="1"/>
  <c r="O299" i="1"/>
  <c r="P299" i="1" s="1"/>
  <c r="O300" i="1"/>
  <c r="P300" i="1" s="1"/>
  <c r="O301" i="1"/>
  <c r="P301" i="1" s="1"/>
  <c r="O2" i="1"/>
  <c r="P2" i="1" s="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2" i="1"/>
  <c r="B4" i="2"/>
  <c r="B3" i="2"/>
  <c r="B2" i="2"/>
  <c r="B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0"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<sst xmlns="http://schemas.openxmlformats.org/spreadsheetml/2006/main" count="1665" uniqueCount="309">
  <si>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</si>
  <si>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</si>
  <si>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</si>
  <si>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</si>
  <si>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</si>
  <si>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</si>
  <si>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</si>
  <si>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</si>
  <si>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</si>
  <si>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</si>
  <si>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</si>
  <si>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</si>
  <si>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</si>
  <si>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</si>
  <si>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</si>
  <si>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</si>
  <si>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</si>
  <si>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</si>
  <si>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</si>
  <si>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</si>
  <si>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</si>
  <si>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</si>
  <si>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</si>
  <si>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</si>
  <si>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</si>
  <si>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</si>
  <si>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</si>
  <si>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</si>
  <si>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</si>
  <si>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</si>
  <si>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</si>
  <si>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</si>
  <si>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</si>
  <si>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</si>
  <si>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</si>
  <si>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</si>
  <si>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</si>
  <si>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</si>
  <si>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</si>
  <si>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</si>
  <si>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</si>
  <si>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</si>
  <si>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</si>
  <si>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</si>
  <si>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</si>
  <si>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</si>
  <si>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</si>
  <si>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</si>
  <si>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</si>
  <si>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</si>
  <si>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</si>
  <si>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</si>
  <si>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</si>
  <si>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</si>
  <si>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</si>
  <si>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</si>
  <si>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</si>
  <si>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</si>
  <si>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</si>
  <si>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</si>
  <si>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</si>
  <si>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</si>
  <si>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</si>
  <si>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</si>
  <si>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</si>
  <si>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</si>
  <si>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</si>
  <si>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</si>
  <si>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</si>
  <si>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</si>
  <si>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</si>
  <si>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</si>
  <si>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</si>
  <si>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</si>
  <si>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</si>
  <si>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</si>
  <si>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</si>
  <si>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</si>
  <si>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</si>
  <si>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</si>
  <si>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</si>
  <si>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</si>
  <si>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</si>
  <si>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</si>
  <si>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</si>
  <si>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</si>
  <si>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</si>
  <si>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</si>
  <si>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</si>
  <si>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</si>
  <si>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</si>
  <si>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</si>
  <si>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</si>
  <si>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</si>
  <si>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</si>
  <si>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</si>
  <si>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</si>
  <si>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</si>
  <si>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</si>
  <si>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</si>
  <si>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</si>
  <si>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</si>
  <si>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</si>
  <si>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</si>
  <si>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</si>
  <si>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</si>
  <si>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</si>
  <si>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</si>
  <si>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</si>
  <si>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</si>
  <si>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</si>
  <si>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</si>
  <si>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</si>
  <si>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</si>
  <si>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</si>
  <si>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</si>
  <si>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</si>
  <si>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</si>
  <si>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</si>
  <si>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</si>
  <si>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</si>
  <si>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</si>
  <si>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</si>
  <si>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</si>
  <si>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</si>
  <si>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</si>
  <si>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</si>
  <si>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</si>
  <si>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</si>
  <si>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</si>
  <si>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</si>
  <si>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</si>
  <si>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</si>
  <si>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</si>
  <si>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</si>
  <si>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</si>
  <si>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</si>
  <si>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</si>
  <si>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</si>
  <si>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</si>
  <si>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</si>
  <si>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</si>
  <si>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</si>
  <si>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</si>
  <si>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</si>
  <si>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</si>
  <si>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</si>
  <si>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</si>
  <si>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</si>
  <si>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</si>
  <si>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</si>
  <si>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</si>
  <si>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</si>
  <si>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</si>
  <si>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</si>
  <si>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</si>
  <si>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</si>
  <si>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</si>
  <si>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</si>
  <si>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</si>
  <si>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</si>
  <si>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</si>
  <si>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</si>
  <si>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</si>
  <si>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</si>
  <si>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</si>
  <si>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</si>
  <si>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</si>
  <si>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</si>
  <si>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</si>
  <si>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</si>
  <si>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</si>
  <si>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</si>
  <si>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</si>
  <si>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</si>
  <si>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</si>
  <si>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</si>
  <si>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</si>
  <si>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</si>
  <si>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</si>
  <si>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ALL BRANDS - WEBINAR - OCT 25 - Financial Literacy V2</t>
  </si>
  <si>
    <t>https://litmus.com/folders/324180/emails/19386461/analytics</t>
  </si>
  <si>
    <t>https://litmus.com/folders/324180/emails/19386462/analytics</t>
  </si>
  <si>
    <t>Consolidation - 90 days (24-Oct End)</t>
  </si>
  <si>
    <t>Consolidation - 30 days  (24-Oct End)</t>
  </si>
  <si>
    <t>Consolidation - 90 days  (24-Oct End)</t>
  </si>
  <si>
    <t>6 Month Tenure (25 Oct End)</t>
  </si>
  <si>
    <t xml:space="preserve">Age Pension - 68 Years </t>
  </si>
  <si>
    <t>Age Pension - 67 Years</t>
  </si>
  <si>
    <t>Age Pension - 66 Years</t>
  </si>
  <si>
    <t>Age Pension - 57 Years</t>
  </si>
  <si>
    <t>Annual Member meeting (Tranche 1)</t>
  </si>
  <si>
    <t>SEMINAR - NOV (NSW) Retirement Information Forum (RIF) INVITE</t>
  </si>
  <si>
    <t>SEMINAR - NOV (NSW V1) Retirement Seminar &amp; webinars (CBUS &amp; MS) INVITE + SMS</t>
  </si>
  <si>
    <t>WEBINAR - WAG - OCT Boost your super INVITE</t>
  </si>
  <si>
    <t>Advice Needs research- MEDIA 35s+</t>
  </si>
  <si>
    <t>Advice Needs research- Cbus- 34 and under</t>
  </si>
  <si>
    <t>Advice Needs research- Cbus 35 and over</t>
  </si>
  <si>
    <t>Scam awareness - Media</t>
  </si>
  <si>
    <t>Scam awareness - Cbus</t>
  </si>
  <si>
    <t>WEBINAR - WAG - NOV Super health check seminar INVITE - MS</t>
  </si>
  <si>
    <t>WEBINAR - WAG - NOV Super health check seminar INVITE - Cbus</t>
  </si>
  <si>
    <t>SEMINAR - NOV (NSW V2) Retirement Seminar &amp; webinars (CBUS &amp; MS) INVITE + SMS</t>
  </si>
  <si>
    <t>Cbus - 2025 Statements - NON RIE - B Version 1.0</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</si>
  <si>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</si>
  <si>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</si>
  <si>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</si>
  <si>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</si>
  <si>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</si>
  <si>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</si>
  <si>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</si>
  <si>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</si>
  <si>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</si>
  <si>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</si>
  <si>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</si>
  <si>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</si>
  <si>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</si>
  <si>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Beneficiaries - Seg 1 - New member (28-Nov End)</t>
  </si>
  <si>
    <t>Beneficiaries - Seg 1 -New member  (28-Nov End)</t>
  </si>
  <si>
    <t>PYS 9 Months (20-Nov End)</t>
  </si>
  <si>
    <t xml:space="preserve">PYS 9 Months (20-Nov End) </t>
  </si>
  <si>
    <t xml:space="preserve">PYS 15 Months (20-Nov End) </t>
  </si>
  <si>
    <t>Day 3 Welcome (20-Nov Start)</t>
  </si>
  <si>
    <t>NSW Retirement seminars &amp; webinars - REMINDER</t>
  </si>
  <si>
    <t>Advice Needs research- MEDIA 35s+ Reminder</t>
  </si>
  <si>
    <t>Advice Needs research- Cbus- 34 and under Reminder</t>
  </si>
  <si>
    <t>Advice Needs research- Cbus 35 and overReminder</t>
  </si>
  <si>
    <t>YC Investment Basics [30-34]</t>
  </si>
  <si>
    <t>https://litmus.com/analytics?search=basic&amp;days=60</t>
  </si>
  <si>
    <t>YC Investment Basics[25-29]</t>
  </si>
  <si>
    <t>YC Investment Basics [20-24]</t>
  </si>
  <si>
    <t>YC Investment Basics [15-19]</t>
  </si>
  <si>
    <t>WEBINAR - NOV 25 - NSW RIF - group 2 - Invite</t>
  </si>
  <si>
    <t>Quarterly Investment Perf Update - HNW - B</t>
  </si>
  <si>
    <t>https://litmus.com/folders/438568/emails/19637767/analytics</t>
  </si>
  <si>
    <t>Quarterly Investment Perf Update - HNW - A</t>
  </si>
  <si>
    <t>https://litmus.com/folders/324180/emails/19788343/analytics</t>
  </si>
  <si>
    <t>WEBINAR - NOV 25 - V2 NSW Retirement seminars &amp; webinars - REMINDER</t>
  </si>
  <si>
    <t>https://litmus.com/folders/324180/emails/19623966/analytics</t>
  </si>
  <si>
    <t>https://litmus.com/folders/324180/emails/19623965/analytics</t>
  </si>
  <si>
    <t>WEBINAR - NOV 25 - ULTIMO Retirement seminars &amp; webinars</t>
  </si>
  <si>
    <t>https://litmus.com/folders/324180/emails/19869017/analytics</t>
  </si>
  <si>
    <t>https://litmus.com/folders/324180/emails/19869016/analytics</t>
  </si>
  <si>
    <t>SEN - Death Benefit Nov 25</t>
  </si>
  <si>
    <t>https://litmus.com/folders/440129/emails/19700152/analytics</t>
  </si>
  <si>
    <t>SEN - Death Benefit Nov 26</t>
  </si>
  <si>
    <t>https://litmus.com/folders/440129/emails/19699239/analytics</t>
  </si>
  <si>
    <t>Cbus - 2025 Statements - RS</t>
  </si>
  <si>
    <t>https://litmus.com/folders/416254/emails/19414929/analytics</t>
  </si>
  <si>
    <t>Cbus - Accessing Super &amp; SIS - Age 69  - (Stopped 22 Dec)</t>
  </si>
  <si>
    <t>https://litmus.com/folders/445617/emails/19937274/analytics</t>
  </si>
  <si>
    <t>Cbus - Accessing Super &amp; SIS - Age 65 - (Stopped 22 Dec)</t>
  </si>
  <si>
    <t>https://litmus.com/folders/445617/emails/19937261/analytics</t>
  </si>
  <si>
    <t>Cbus - Accessing Super &amp; SIS - Age 60 - (Stopped 22 Dec)</t>
  </si>
  <si>
    <t>https://litmus.com/folders/445617/emails/19937180/analytics</t>
  </si>
  <si>
    <t>Cbus - Accessing Super &amp; SIS - Age 59 - (Stopped 22 Dec)</t>
  </si>
  <si>
    <t>https://litmus.com/folders/445617/emails/19937150/analytics</t>
  </si>
  <si>
    <t xml:space="preserve">Downsizer - 73 yrs - (Stopped 22 Dec) </t>
  </si>
  <si>
    <t>Downsizer - 55 yrs - (Stopped 22 Dec)</t>
  </si>
  <si>
    <t>Beneficiaries [Seg 4 - Lapsed binding] - (Stopped 22 Dec)</t>
  </si>
  <si>
    <t>PYS 12 Months - (Stopped 22 Dec)</t>
  </si>
  <si>
    <t>https://litmus.com/folders/308698/emails/13915180/analytics</t>
  </si>
  <si>
    <t xml:space="preserve">SPC - Unpaid Super </t>
  </si>
  <si>
    <t xml:space="preserve">Abandoned  Cart MJOL </t>
  </si>
  <si>
    <t>Day 3 Welcome</t>
  </si>
  <si>
    <t xml:space="preserve">Data Capture - Accum </t>
  </si>
  <si>
    <t xml:space="preserve">Data Capture- Accum </t>
  </si>
  <si>
    <t xml:space="preserve">PYS 9 Months (22-Dec-End) </t>
  </si>
  <si>
    <t>Age Pension - 68 Years (Filterted stats from insight team)</t>
  </si>
  <si>
    <t>Age Pension - 67 Years  (Filterted stats from insight team)</t>
  </si>
  <si>
    <t>Age Pension - 66 Years (Filterted stats from insight team)</t>
  </si>
  <si>
    <t>Age Pension - 57 Years  (Filterted stats from insight team)</t>
  </si>
  <si>
    <t xml:space="preserve">CBUS - Podcast Launch [Super Shift] </t>
  </si>
  <si>
    <t>https://litmus.com/folders/444140/emails/19869296/analytics</t>
  </si>
  <si>
    <t xml:space="preserve">MEDIA - WEBINAR - JAN 26 - Super Health Check seminar </t>
  </si>
  <si>
    <t>https://litmus.com/folders/324180/emails/20279342/analytics</t>
  </si>
  <si>
    <t>Cbus - Accessing Super &amp; SIS - Age 69  - (Start 5 Jan)</t>
  </si>
  <si>
    <t>Cbus - Accessing Super &amp; SIS - Age 65  - (Start 5 Jan)</t>
  </si>
  <si>
    <t>Cbus - Accessing Super &amp; SIS - Age 60 - (Start 5 Jan)</t>
  </si>
  <si>
    <t>Cbus - Accessing Super &amp; SIS - Age 59 - (Start 5 Jan)</t>
  </si>
  <si>
    <t xml:space="preserve">Downsizer - 73 yrs - (Start 5 Jan) </t>
  </si>
  <si>
    <t>Downsizer - 55 yrs - (Start 5 Jan)</t>
  </si>
  <si>
    <t>Beneficiaries [Seg 4 - Lapsed binding] - (Start 5 Jan)</t>
  </si>
  <si>
    <t>PYS 12 Months - (Start 5 Jan)</t>
  </si>
  <si>
    <t>Data Capture- Media</t>
  </si>
  <si>
    <t xml:space="preserve">PYS 9 Months (Start 5 Jan) </t>
  </si>
  <si>
    <t>PYS 9 Months (Start 5 Jan)</t>
  </si>
  <si>
    <t>Age Pension - 68 Years</t>
  </si>
  <si>
    <t>https://litmus.com/folders/324180/emails/20278715/analytics</t>
  </si>
  <si>
    <t xml:space="preserve">Age Pension - 67 Years </t>
  </si>
  <si>
    <t>https://litmus.com/folders/324180/emails/20278716/analytics</t>
  </si>
  <si>
    <t xml:space="preserve">Age Pension - 66 Years </t>
  </si>
  <si>
    <t>https://litmus.com/folders/324180/emails/20278714/analytics</t>
  </si>
  <si>
    <t>https://litmus.com/folders/324180/emails/20278713/analytics</t>
  </si>
  <si>
    <t>ALL BRANDS - WEBINAR - FEB 26 - QLD Retirement Series</t>
  </si>
  <si>
    <t>https://litmus.com/folders/324180/emails/20471791/analytics</t>
  </si>
  <si>
    <t>https://litmus.com/folders/324180/emails/20471793/analytics</t>
  </si>
  <si>
    <t>ALL BRANDS - WEBINAR - JAN 26 - Super Health Check semina</t>
  </si>
  <si>
    <t>https://litmus.com/folders/324180/emails/20279341/analytics</t>
  </si>
  <si>
    <t xml:space="preserve">ALL BRANDS - WEBINAR - FEB 26 - Choosing the right investment option 
</t>
  </si>
  <si>
    <t>https://litmus.com/folders/324180/emails/20471766/analytics</t>
  </si>
  <si>
    <t>https://litmus.com/folders/324180/emails/20471767/analytics</t>
  </si>
  <si>
    <t>ALL BRANDS - MFA [Missing mobile] Local</t>
  </si>
  <si>
    <t>ALL BRANDS - MFA [Missing mobile] International</t>
  </si>
  <si>
    <t>Averages %</t>
  </si>
  <si>
    <t>Open Rate</t>
  </si>
  <si>
    <t>Click Rate</t>
  </si>
  <si>
    <t>CTOR</t>
  </si>
  <si>
    <t>Unsub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</si>
</sst>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C09]dd\-mmm\-yy;@"/>
  </numFmts>
  <fonts count="22">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sz val="10"/>
      <color rgb="FF000000"/>
      <name val="Arial"/>
    </font>
    <font>
      <sz val="10"/>
      <color rgb="FF000000"/>
      <name val="Aptos Narrow"/>
      <family val="2"/>
    </font>
    <font>
      <sz val="10"/>
      <color theme="1"/>
      <name val="Arial"/>
    </font>
    <font>
      <b/>
      <sz val="12"/>
      <color theme="1"/>
      <name val="Aptos Narrow"/>
      <family val="2"/>
      <scheme val="minor"/>
    </font>
    <font>
      <u/>
      <sz val="10"/>
      <color rgb="FF467886"/>
      <name val="Arial"/>
      <family val="2"/>
    </font>
    <font>
      <sz val="11"/>
      <color rgb="FF808080"/>
      <name val="Arial"/>
      <family val="2"/>
    </font>
    <font>
      <sz val="11"/>
      <color rgb="FF9C0006"/>
      <name val="Arial"/>
      <family val="2"/>
    </font>
    <font>
      <u/>
      <sz val="12"/>
      <color rgb="FF467886"/>
      <name val="Aptos Narrow"/>
      <family val="2"/>
    </font>
    <font>
      <sz val="11"/>
      <color rgb="FF262626"/>
      <name val="Aptos Narrow"/>
      <family val="2"/>
    </font>
  </fonts>
  <fills count="3">
    <fill>
      <patternFill patternType="none"/>
    </fill>
    <fill>
      <patternFill patternType="gray125"/>
    </fill>
    <fill>
      <patternFill patternType="solid">
        <fgColor theme="3" tint="0.89999084444715716"/>
        <bgColor indexed="64"/>
      </patternFill>
    </fill>
  </fills>
  <borders count="19">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style="thin">
        <color theme="2"/>
      </left>
      <right style="thin">
        <color theme="2"/>
      </right>
      <top style="thin">
        <color theme="2"/>
      </top>
      <bottom/>
      <diagonal/>
    </border>
    <border>
      <left/>
      <right/>
      <top/>
      <bottom style="thin">
        <color theme="1" tint="0.34998626667073579"/>
      </bottom>
      <diagonal/>
    </border>
    <border>
      <left style="thin">
        <color rgb="FFE8E8E8"/>
      </left>
      <right/>
      <top/>
      <bottom style="thin">
        <color rgb="FFE8E8E8"/>
      </bottom>
      <diagonal/>
    </border>
    <border>
      <left/>
      <right style="thin">
        <color rgb="FFE8E8E8"/>
      </right>
      <top/>
      <bottom style="thin">
        <color rgb="FFE8E8E8"/>
      </bottom>
      <diagonal/>
    </border>
    <border>
      <left style="thin">
        <color rgb="FFE8E8E8"/>
      </left>
      <right style="thin">
        <color rgb="FFE8E8E8"/>
      </right>
      <top/>
      <bottom style="thin">
        <color rgb="FFE8E8E8"/>
      </bottom>
      <diagonal/>
    </border>
    <border>
      <left style="thin">
        <color rgb="FFE8E8E8"/>
      </left>
      <right/>
      <top style="thin">
        <color rgb="FFE8E8E8"/>
      </top>
      <bottom/>
      <diagonal/>
    </border>
    <border>
      <left/>
      <right style="thin">
        <color rgb="FFE8E8E8"/>
      </right>
      <top style="thin">
        <color rgb="FFE8E8E8"/>
      </top>
      <bottom/>
      <diagonal/>
    </border>
    <border>
      <left style="thin">
        <color rgb="FFE8E8E8"/>
      </left>
      <right style="thin">
        <color rgb="FFE8E8E8"/>
      </right>
      <top style="thin">
        <color rgb="FFE8E8E8"/>
      </top>
      <bottom/>
      <diagonal/>
    </border>
    <border>
      <left style="thin">
        <color rgb="FFE8E8E8"/>
      </left>
      <right style="thin">
        <color rgb="FFE8E8E8"/>
      </right>
      <top style="thin">
        <color rgb="FFE8E8E8"/>
      </top>
      <bottom style="thin">
        <color rgb="FFE8E8E8"/>
      </bottom>
      <diagonal/>
    </border>
    <border>
      <left style="thin">
        <color rgb="FFE8E8E8"/>
      </left>
      <right/>
      <top style="thin">
        <color rgb="FFE8E8E8"/>
      </top>
      <bottom style="thin">
        <color rgb="FFE8E8E8"/>
      </bottom>
      <diagonal/>
    </border>
    <border>
      <left style="thin">
        <color rgb="FFE8E8E8"/>
      </left>
      <right/>
      <top/>
      <bottom/>
      <diagonal/>
    </border>
    <border>
      <left/>
      <right style="thin">
        <color rgb="FFE8E8E8"/>
      </right>
      <top style="thin">
        <color rgb="FFE8E8E8"/>
      </top>
      <bottom style="thin">
        <color rgb="FFE8E8E8"/>
      </bottom>
      <diagonal/>
    </border>
    <border>
      <left/>
      <right style="thin">
        <color rgb="FFE8E8E8"/>
      </right>
      <top/>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00">
    <xf numFmtId="0" fontId="0" fillId="0" borderId="0" xfId="0"/>
    <xf numFmtId="1" fontId="0" fillId="0" borderId="0" xfId="0" applyNumberFormat="1"/>
    <xf numFmtId="1" fontId="0" fillId="2" borderId="0" xfId="0" applyNumberFormat="1" applyFill="1"/>
    <xf numFmtId="0" fontId="0" fillId="2" borderId="0" xfId="0" applyFill="1"/>
    <xf numFmtId="0" fontId="16" fillId="2" borderId="0" xfId="0" applyFont="1" applyFill="1" applyAlignment="1">
      <alignment horizontal="left"/>
    </xf>
    <xf numFmtId="0" fontId="16" fillId="0" borderId="0" xfId="0" applyFont="1" applyAlignment="1">
      <alignment horizontal="left"/>
    </xf>
    <xf numFmtId="0" fontId="6" fillId="0" borderId="11" xfId="0" applyFont="1" applyBorder="1"/>
    <xf numFmtId="0" fontId="17" fillId="0" borderId="9" xfId="0" applyFont="1" applyBorder="1"/>
    <xf numFmtId="0" fontId="6" fillId="0" borderId="13" xfId="0" applyFont="1" applyBorder="1"/>
    <xf numFmtId="0" fontId="6" fillId="0" borderId="10" xfId="0" applyFont="1" applyBorder="1"/>
    <xf numFmtId="3" fontId="6" fillId="0" borderId="13" xfId="0" applyNumberFormat="1" applyFont="1" applyBorder="1"/>
    <xf numFmtId="0" fontId="18" fillId="0" borderId="8" xfId="0" applyFont="1" applyBorder="1"/>
    <xf numFmtId="0" fontId="20" fillId="0" borderId="14" xfId="0" applyFont="1" applyBorder="1"/>
    <xf numFmtId="0" fontId="17" fillId="0" borderId="12" xfId="0" applyFont="1" applyBorder="1"/>
    <xf numFmtId="0" fontId="6" fillId="0" borderId="14" xfId="0" applyFont="1" applyBorder="1"/>
    <xf numFmtId="0" fontId="6" fillId="0" borderId="15" xfId="0" applyFont="1" applyBorder="1"/>
    <xf numFmtId="3" fontId="6" fillId="0" borderId="14" xfId="0" applyNumberFormat="1" applyFont="1" applyBorder="1"/>
    <xf numFmtId="0" fontId="1" fillId="0" borderId="12" xfId="1" applyFill="1" applyBorder="1" applyAlignment="1"/>
    <xf numFmtId="0" fontId="1" fillId="0" borderId="13" xfId="1" applyFill="1" applyBorder="1" applyAlignment="1"/>
    <xf numFmtId="0" fontId="6" fillId="0" borderId="16" xfId="0" applyFont="1" applyBorder="1"/>
    <xf numFmtId="0" fontId="1" fillId="0" borderId="14" xfId="1" applyFill="1" applyBorder="1" applyAlignment="1"/>
    <xf numFmtId="0" fontId="1" fillId="0" borderId="17" xfId="1" applyFill="1" applyBorder="1" applyAlignment="1"/>
    <xf numFmtId="0" fontId="17" fillId="0" borderId="17" xfId="0" applyFont="1" applyBorder="1"/>
    <xf numFmtId="0" fontId="6" fillId="0" borderId="0" xfId="0" applyFont="1"/>
    <xf numFmtId="0" fontId="2" fillId="0" borderId="15" xfId="0" applyFont="1" applyBorder="1"/>
    <xf numFmtId="0" fontId="19" fillId="0" borderId="14" xfId="0" applyFont="1" applyBorder="1"/>
    <xf numFmtId="0" fontId="6" fillId="0" borderId="18" xfId="0" applyFont="1" applyBorder="1"/>
    <xf numFmtId="0" fontId="5" fillId="0" borderId="18" xfId="0" applyFont="1" applyBorder="1"/>
    <xf numFmtId="0" fontId="1" fillId="0" borderId="9" xfId="1" applyFill="1" applyBorder="1" applyAlignment="1"/>
    <xf numFmtId="0" fontId="1" fillId="0" borderId="18" xfId="1" applyFill="1" applyBorder="1" applyAlignment="1"/>
    <xf numFmtId="0" fontId="14" fillId="0" borderId="0" xfId="0" applyFont="1"/>
    <xf numFmtId="0" fontId="2" fillId="0" borderId="0" xfId="0" applyFont="1"/>
    <xf numFmtId="0" fontId="20" fillId="0" borderId="18" xfId="0" applyFont="1" applyBorder="1"/>
    <xf numFmtId="0" fontId="5" fillId="0" borderId="7" xfId="0" applyFont="1" applyBorder="1" applyAlignment="1">
      <alignment horizontal="right" vertical="center"/>
    </xf>
    <xf numFmtId="0" fontId="13" fillId="0" borderId="3" xfId="0" applyFont="1" applyBorder="1" applyAlignment="1">
      <alignment horizontal="left" vertical="center"/>
    </xf>
    <xf numFmtId="0" fontId="5" fillId="0" borderId="4" xfId="0" applyFont="1" applyBorder="1" applyAlignment="1">
      <alignment horizontal="center" vertical="center" indent="1"/>
    </xf>
    <xf numFmtId="0" fontId="5" fillId="0" borderId="4" xfId="0" applyFont="1" applyBorder="1" applyAlignment="1">
      <alignment horizontal="right" vertical="center"/>
    </xf>
    <xf numFmtId="1" fontId="5" fillId="0" borderId="4" xfId="0" applyNumberFormat="1" applyFont="1" applyBorder="1" applyAlignment="1">
      <alignment horizontal="right" vertical="center"/>
    </xf>
    <xf numFmtId="1" fontId="5" fillId="0" borderId="5" xfId="0" applyNumberFormat="1" applyFont="1" applyBorder="1" applyAlignment="1">
      <alignment horizontal="right" vertical="center"/>
    </xf>
    <xf numFmtId="2" fontId="7" fillId="0" borderId="5" xfId="0" applyNumberFormat="1" applyFont="1" applyBorder="1" applyAlignment="1">
      <alignment horizontal="right" vertical="center"/>
    </xf>
    <xf numFmtId="0" fontId="11" fillId="0" borderId="4" xfId="0" applyFont="1" applyBorder="1" applyAlignment="1">
      <alignment horizontal="right" vertical="center"/>
    </xf>
    <xf numFmtId="0" fontId="5" fillId="0" borderId="4" xfId="0" applyFont="1" applyBorder="1" applyAlignment="1">
      <alignment horizontal="left" vertical="center"/>
    </xf>
    <xf numFmtId="0" fontId="4" fillId="0" borderId="2" xfId="0" applyFont="1" applyBorder="1"/>
    <xf numFmtId="0" fontId="6" fillId="0" borderId="8" xfId="0" applyFont="1" applyBorder="1"/>
    <xf numFmtId="3" fontId="6" fillId="0" borderId="10" xfId="0" applyNumberFormat="1" applyFont="1" applyBorder="1"/>
    <xf numFmtId="0" fontId="4" fillId="0" borderId="1" xfId="0" applyFont="1" applyBorder="1"/>
    <xf numFmtId="0" fontId="2" fillId="0" borderId="13" xfId="0" applyFont="1" applyBorder="1"/>
    <xf numFmtId="0" fontId="2" fillId="0" borderId="11" xfId="0" applyFont="1" applyBorder="1"/>
    <xf numFmtId="0" fontId="4" fillId="0" borderId="1" xfId="0" applyFont="1" applyBorder="1" applyAlignment="1">
      <alignment horizontal="right" vertical="center"/>
    </xf>
    <xf numFmtId="0" fontId="15" fillId="0" borderId="1" xfId="0" applyFont="1" applyBorder="1" applyAlignment="1">
      <alignment horizontal="left" vertical="center"/>
    </xf>
    <xf numFmtId="0" fontId="4" fillId="0" borderId="1" xfId="0" applyFont="1" applyBorder="1" applyAlignment="1">
      <alignment horizontal="center" indent="1"/>
    </xf>
    <xf numFmtId="0" fontId="6" fillId="0" borderId="1" xfId="0" applyFont="1" applyBorder="1"/>
    <xf numFmtId="1" fontId="12" fillId="0" borderId="0" xfId="0" applyNumberFormat="1" applyFont="1"/>
    <xf numFmtId="2" fontId="4" fillId="0" borderId="1" xfId="0" applyNumberFormat="1" applyFont="1" applyBorder="1"/>
    <xf numFmtId="2" fontId="8" fillId="0" borderId="1" xfId="0" applyNumberFormat="1" applyFont="1" applyBorder="1"/>
    <xf numFmtId="0" fontId="8" fillId="0" borderId="1" xfId="0" applyFont="1" applyBorder="1"/>
    <xf numFmtId="0" fontId="4" fillId="0" borderId="1" xfId="0" applyFont="1" applyBorder="1" applyAlignment="1">
      <alignment horizontal="left"/>
    </xf>
    <xf numFmtId="0" fontId="4" fillId="0" borderId="6" xfId="0" applyFont="1" applyBorder="1" applyAlignment="1">
      <alignment horizontal="center" indent="1"/>
    </xf>
    <xf numFmtId="0" fontId="6" fillId="0" borderId="6" xfId="0" applyFont="1" applyBorder="1"/>
    <xf numFmtId="2" fontId="4" fillId="0" borderId="6" xfId="0" applyNumberFormat="1" applyFont="1" applyBorder="1"/>
    <xf numFmtId="0" fontId="4" fillId="0" borderId="6" xfId="0" applyFont="1" applyBorder="1"/>
    <xf numFmtId="0" fontId="8" fillId="0" borderId="6" xfId="0" applyFont="1" applyBorder="1"/>
    <xf numFmtId="165" fontId="6" fillId="0" borderId="3" xfId="0" applyNumberFormat="1" applyFont="1" applyBorder="1" applyAlignment="1">
      <alignment horizontal="left" vertical="center"/>
    </xf>
    <xf numFmtId="165" fontId="6" fillId="0" borderId="1" xfId="0" applyNumberFormat="1" applyFont="1" applyBorder="1" applyAlignment="1">
      <alignment horizontal="left"/>
    </xf>
    <xf numFmtId="164" fontId="6" fillId="0" borderId="9" xfId="0" applyNumberFormat="1" applyFont="1" applyBorder="1"/>
    <xf numFmtId="164" fontId="6" fillId="0" borderId="12" xfId="0" applyNumberFormat="1" applyFont="1" applyBorder="1"/>
    <xf numFmtId="164" fontId="6" fillId="0" borderId="17" xfId="0" applyNumberFormat="1" applyFont="1" applyBorder="1"/>
    <xf numFmtId="164" fontId="21" fillId="0" borderId="14" xfId="0" applyNumberFormat="1" applyFont="1" applyBorder="1"/>
    <xf numFmtId="164" fontId="2" fillId="0" borderId="0" xfId="0" applyNumberFormat="1" applyFont="1"/>
    <xf numFmtId="4" fontId="7" fillId="0" borderId="4" xfId="0" applyNumberFormat="1" applyFont="1" applyBorder="1" applyAlignment="1">
      <alignment horizontal="right" vertical="center"/>
    </xf>
    <xf numFmtId="4" fontId="7" fillId="0" borderId="5" xfId="0" applyNumberFormat="1" applyFont="1" applyBorder="1" applyAlignment="1">
      <alignment horizontal="right" vertical="center"/>
    </xf>
    <xf numFmtId="4" fontId="18" fillId="0" borderId="10" xfId="0" applyNumberFormat="1" applyFont="1" applyBorder="1"/>
    <xf numFmtId="4" fontId="8" fillId="0" borderId="10" xfId="0" applyNumberFormat="1" applyFont="1" applyBorder="1"/>
    <xf numFmtId="4" fontId="18" fillId="0" borderId="8" xfId="0" applyNumberFormat="1" applyFont="1" applyBorder="1"/>
    <xf numFmtId="4" fontId="4" fillId="0" borderId="1" xfId="0" applyNumberFormat="1" applyFont="1" applyBorder="1"/>
    <xf numFmtId="4" fontId="8" fillId="0" borderId="1" xfId="0" applyNumberFormat="1" applyFont="1" applyBorder="1"/>
    <xf numFmtId="0" fontId="1" fillId="0" borderId="6" xfId="1" applyBorder="1" applyAlignment="1">
      <alignment horizontal="left" vertical="center" wrapText="1"/>
    </xf>
    <xf numFmtId="0" fontId="5" fillId="0" borderId="4" xfId="0" applyFont="1" applyBorder="1" applyAlignment="1">
      <alignment vertical="center" indent="1"/>
    </xf>
    <xf numFmtId="0" fontId="6" fillId="0" borderId="10" xfId="0" applyFont="1" applyBorder="1" applyAlignment="1"/>
    <xf numFmtId="0" fontId="6" fillId="0" borderId="13" xfId="0" applyFont="1" applyBorder="1" applyAlignment="1"/>
    <xf numFmtId="0" fontId="6" fillId="0" borderId="14" xfId="0" applyFont="1" applyBorder="1" applyAlignment="1"/>
    <xf numFmtId="0" fontId="2" fillId="0" borderId="0" xfId="0" applyFont="1" applyAlignment="1"/>
    <xf numFmtId="0" fontId="4" fillId="0" borderId="6" xfId="0" applyFont="1" applyBorder="1" applyAlignment="1">
      <alignment indent="1"/>
    </xf>
    <xf numFmtId="0" fontId="4" fillId="0" borderId="1" xfId="0" applyFont="1" applyBorder="1" applyAlignment="1">
      <alignment indent="1"/>
    </xf>
    <xf numFmtId="0" fontId="4" fillId="0" borderId="6" xfId="0" applyFont="1" applyFill="1" applyBorder="1" applyAlignment="1">
      <alignment horizontal="right" vertical="center"/>
    </xf>
    <xf numFmtId="0" fontId="4" fillId="0" borderId="6" xfId="0" applyFont="1" applyFill="1" applyBorder="1" applyAlignment="1">
      <alignment indent="1"/>
    </xf>
    <xf numFmtId="0" fontId="4" fillId="0" borderId="6" xfId="0" applyFont="1" applyFill="1" applyBorder="1" applyAlignment="1">
      <alignment horizontal="center" indent="1"/>
    </xf>
    <xf numFmtId="0" fontId="6" fillId="0" borderId="6" xfId="0" applyFont="1" applyFill="1" applyBorder="1"/>
    <xf numFmtId="1" fontId="12" fillId="0" borderId="0" xfId="0" applyNumberFormat="1" applyFont="1" applyFill="1" applyBorder="1"/>
    <xf numFmtId="4" fontId="8" fillId="0" borderId="6" xfId="0" applyNumberFormat="1" applyFont="1" applyFill="1" applyBorder="1"/>
    <xf numFmtId="2" fontId="8" fillId="0" borderId="6" xfId="0" applyNumberFormat="1" applyFont="1" applyFill="1" applyBorder="1"/>
    <xf numFmtId="2" fontId="4" fillId="0" borderId="6" xfId="0" applyNumberFormat="1" applyFont="1" applyFill="1" applyBorder="1"/>
    <xf numFmtId="0" fontId="8" fillId="0" borderId="6" xfId="0" applyFont="1" applyFill="1" applyBorder="1"/>
    <xf numFmtId="0" fontId="4" fillId="0" borderId="6" xfId="0" applyFont="1" applyFill="1" applyBorder="1"/>
    <xf numFmtId="0" fontId="4" fillId="0" borderId="6" xfId="0" applyFont="1" applyFill="1" applyBorder="1" applyAlignment="1">
      <alignment horizontal="left"/>
    </xf>
    <xf numFmtId="0" fontId="1" fillId="0" borderId="6" xfId="1" applyFill="1" applyBorder="1" applyAlignment="1">
      <alignment horizontal="left" vertical="center"/>
    </xf>
    <xf numFmtId="0" fontId="1" fillId="0" borderId="6" xfId="1" applyFill="1" applyBorder="1" applyAlignment="1">
      <alignment horizontal="left" vertical="center" wrapText="1"/>
    </xf>
    <xf numFmtId="0" fontId="1" fillId="0" borderId="6" xfId="1" applyFill="1" applyBorder="1" applyAlignment="1">
      <alignment horizontal="left"/>
    </xf>
    <xf numFmtId="0" fontId="1" fillId="0" borderId="6" xfId="1" applyBorder="1" applyAlignment="1">
      <alignment horizontal="left"/>
    </xf>
    <xf numFmtId="0" fontId="1" fillId="0" borderId="18" xfId="1" applyBorder="1"/>
  </cellXfs>
  <cellStyles count="4">
    <cellStyle name="Date" xfId="2" xr:uid="{6F0A8B01-0191-40A2-B00A-ED1E02AD1E5F}"/>
    <cellStyle name="Hyperlink" xfId="1" builtinId="8"/>
    <cellStyle name="Normal" xfId="0" builtinId="0"/>
    <cellStyle name="Normal 3" xfId="3" xr:uid="{770A8CE4-86FC-45BF-95B8-E1D8E67E3936}"/>
  </cellStyles>
  <dxfs count="26">
    <dxf>
      <fill>
        <patternFill patternType="none"/>
      </fill>
    </dxf>
    <dxf>
      <fill>
        <patternFill patternType="none"/>
      </fill>
    </dxf>
    <dxf>
      <fill>
        <patternFill patternType="none"/>
      </fill>
    </dxf>
    <dxf>
      <fill>
        <patternFill patternType="none"/>
      </fill>
    </dxf>
    <dxf>
      <fill>
        <patternFill patternType="none"/>
      </fill>
    </dxf>
    <dxf>
      <numFmt numFmtId="4" formatCode="#,##0.00"/>
      <fill>
        <patternFill patternType="none"/>
      </fill>
    </dxf>
    <dxf>
      <numFmt numFmtId="4" formatCode="#,##0.00"/>
      <fill>
        <patternFill patternType="none"/>
      </fill>
    </dxf>
    <dxf>
      <numFmt numFmtId="4" formatCode="#,##0.00"/>
      <fill>
        <patternFill patternType="none"/>
      </fill>
    </dxf>
    <dxf>
      <font>
        <color theme="1" tint="0.499984740745262"/>
      </font>
      <numFmt numFmtId="4" formatCode="#,##0.00"/>
      <fill>
        <patternFill patternType="none"/>
      </fill>
    </dxf>
    <dxf>
      <numFmt numFmtId="4" formatCode="#,##0.00"/>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alignment horizontal="general"/>
    </dxf>
    <dxf>
      <fill>
        <patternFill patternType="none"/>
      </fill>
      <alignment horizontal="general"/>
    </dxf>
    <dxf>
      <numFmt numFmtId="165" formatCode="[$-C09]dd\-mmm\-yy;@"/>
      <fill>
        <patternFill patternType="none"/>
      </fill>
    </dxf>
    <dxf>
      <fill>
        <patternFill patternType="none"/>
      </fill>
    </dxf>
    <dxf>
      <fill>
        <patternFill patternType="none"/>
      </fill>
    </dxf>
    <dxf>
      <border outline="0">
        <bottom style="thin">
          <color theme="1" tint="0.34998626667073579"/>
        </bottom>
      </border>
    </dxf>
    <dxf>
      <border outline="0">
        <left style="thin">
          <color theme="2"/>
        </left>
        <right style="thin">
          <color theme="2"/>
        </right>
        <top style="thin">
          <color theme="2"/>
        </top>
        <bottom style="thin">
          <color theme="2"/>
        </bottom>
      </border>
    </dxf>
    <dxf>
      <fill>
        <patternFill patternType="none"/>
      </fill>
    </dxf>
    <dxf>
      <font>
        <b/>
        <i val="0"/>
        <strike val="0"/>
        <condense val="0"/>
        <extend val="0"/>
        <outline val="0"/>
        <shadow val="0"/>
        <u val="none"/>
        <vertAlign val="baseline"/>
        <sz val="11"/>
        <color rgb="FF000000"/>
        <name val="Arial"/>
        <family val="2"/>
        <scheme val="none"/>
      </font>
      <fill>
        <patternFill patternType="none"/>
      </fill>
      <alignment horizontal="right" vertical="center" textRotation="0" wrapText="0" indent="0" justifyLastLine="0" shrinkToFit="0" readingOrder="0"/>
      <border diagonalUp="0" diagonalDown="0">
        <left style="thin">
          <color theme="2"/>
        </left>
        <right style="thin">
          <color theme="2"/>
        </right>
        <top/>
        <bottom/>
      </border>
    </dxf>
    <dxf>
      <font>
        <b/>
        <i val="0"/>
      </font>
    </dxf>
    <dxf>
      <font>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311" totalsRowShown="0" headerRowDxfId="23" dataDxfId="22" headerRowBorderDxfId="20" tableBorderDxfId="21">
  <autoFilter ref="A1:T311" xr:uid="{50DD768E-A427-4502-A92D-DAA15A17B5EF}"/>
  <sortState xmlns:xlrd2="http://schemas.microsoft.com/office/spreadsheetml/2017/richdata2" ref="A2:T280">
    <sortCondition descending="1" ref="C1:C280"/>
  </sortState>
  <tableColumns count="20">
    <tableColumn id="20" xr3:uid="{66E4B416-ED24-47A6-B9F0-5E9B6DD250F2}" name="img-id" dataDxfId="19"/>
    <tableColumn id="1" xr3:uid="{592A3136-8A60-4650-9DF6-CD74A33464B1}" name="name" dataDxfId="18"/>
    <tableColumn id="7" xr3:uid="{1F194343-9489-4FF7-8BA8-8FE4AD211F8B}" name="date" dataDxfId="17"/>
    <tableColumn id="2" xr3:uid="{613F8D1F-C5D7-46FB-834A-5183617D5BF8}" name="brand" dataDxfId="16"/>
    <tableColumn id="3" xr3:uid="{39913B7C-CBB3-470C-8F4E-6888A201DA8B}" name="type" dataDxfId="15"/>
    <tableColumn id="16" xr3:uid="{DAD37DCA-0435-441A-B8E1-5FE82B0D8B9D}" name="send-type" dataDxfId="14"/>
    <tableColumn id="4" xr3:uid="{0D81733F-25B3-4A7C-B3C0-DFE06A90464F}" name="unique-sends" dataDxfId="13"/>
    <tableColumn id="5" xr3:uid="{274A7B85-7FDE-4D40-8515-C885EF39314B}" name="unique-opens" dataDxfId="12"/>
    <tableColumn id="6" xr3:uid="{C860F744-163F-46E0-BC1A-15DDD6121358}" name="unique-clicks" dataDxfId="11"/>
    <tableColumn id="10" xr3:uid="{A71DAAD5-121C-41AC-A08E-BF363CF89DFE}" name="unsub" dataDxfId="10"/>
    <tableColumn id="11" xr3:uid="{3E23A808-3FEF-4D90-BACE-62A3345A0868}" name="unsub-pc" dataDxfId="9"/>
    <tableColumn id="8" xr3:uid="{E7D2EFD0-301C-4002-8501-CE02665F086E}" name="unique-opens-pc" dataDxfId="8"/>
    <tableColumn id="9" xr3:uid="{FE8ED384-E8DC-43C9-9628-C6A9E5DFA5BE}" name="unique-clicks-pc" dataDxfId="7"/>
    <tableColumn id="17" xr3:uid="{E60FB7EF-7008-49DF-B5E7-A73B4E9595D4}" name="ctor-pc" dataDxfId="6"/>
    <tableColumn id="18" xr3:uid="{EA74FC93-B969-4F46-9C49-8927D6B3A01B}" name="Engagement Score" dataDxfId="5">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4">
      <calculatedColumnFormula>IF(Table1[[#This Row],[Engagement Score]]&lt;30,"🔴",IF(Table1[[#This Row],[Engagement Score]]&lt;40,"🟡","🟢"))</calculatedColumnFormula>
    </tableColumn>
    <tableColumn id="12" xr3:uid="{3CA46112-C95F-E64B-A58D-81BDEBF2FDC4}" name="read-over-8s" dataDxfId="3"/>
    <tableColumn id="13" xr3:uid="{985DCAD1-25BF-804E-9E49-5E19FC44B93C}" name="read-under-8s" dataDxfId="2"/>
    <tableColumn id="14" xr3:uid="{986830C2-C7E6-C645-8ACD-C78E1B2E462F}" name="read-under-2s" dataDxfId="1"/>
    <tableColumn id="15" xr3:uid="{D273CFB9-324F-4CB2-B1BA-58EEE2D8C50F}" name="Litmus-tacking-i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experience.adobe.com/" TargetMode="External"/><Relationship Id="rId299" Type="http://schemas.openxmlformats.org/officeDocument/2006/relationships/hyperlink" Target="https://litmus.com/folders/324180/emails/19623965/analytics" TargetMode="External"/><Relationship Id="rId21" Type="http://schemas.openxmlformats.org/officeDocument/2006/relationships/hyperlink" Target="https://experience.adobe.com/" TargetMode="External"/><Relationship Id="rId63" Type="http://schemas.openxmlformats.org/officeDocument/2006/relationships/hyperlink" Target="https://litmus.com/folders/405552/emails/18192937/analytics" TargetMode="External"/><Relationship Id="rId159" Type="http://schemas.openxmlformats.org/officeDocument/2006/relationships/hyperlink" Target="https://litmus.com/folders/419116/emails/18877094/analytics" TargetMode="External"/><Relationship Id="rId324" Type="http://schemas.openxmlformats.org/officeDocument/2006/relationships/hyperlink" Target="https://experience.adobe.com/" TargetMode="External"/><Relationship Id="rId366" Type="http://schemas.openxmlformats.org/officeDocument/2006/relationships/hyperlink" Target="https://experience.adobe.com/" TargetMode="External"/><Relationship Id="rId170" Type="http://schemas.openxmlformats.org/officeDocument/2006/relationships/hyperlink" Target="https://litmus.com/folders/420731/emails/18878857/analytics" TargetMode="External"/><Relationship Id="rId226" Type="http://schemas.openxmlformats.org/officeDocument/2006/relationships/hyperlink" Target="https://experience.adobe.com/" TargetMode="External"/><Relationship Id="rId268" Type="http://schemas.openxmlformats.org/officeDocument/2006/relationships/hyperlink" Target="https://experience.adobe.com/" TargetMode="External"/><Relationship Id="rId32" Type="http://schemas.openxmlformats.org/officeDocument/2006/relationships/hyperlink" Target="https://experience.adobe.com/" TargetMode="External"/><Relationship Id="rId74" Type="http://schemas.openxmlformats.org/officeDocument/2006/relationships/hyperlink" Target="https://experience.adobe.com/" TargetMode="External"/><Relationship Id="rId128" Type="http://schemas.openxmlformats.org/officeDocument/2006/relationships/hyperlink" Target="https://experience.adobe.com/" TargetMode="External"/><Relationship Id="rId335" Type="http://schemas.openxmlformats.org/officeDocument/2006/relationships/hyperlink" Target="https://experience.adobe.com/" TargetMode="External"/><Relationship Id="rId377" Type="http://schemas.openxmlformats.org/officeDocument/2006/relationships/hyperlink" Target="https://litmus.com/folders/324180/emails/20471766/analytics" TargetMode="External"/><Relationship Id="rId5" Type="http://schemas.openxmlformats.org/officeDocument/2006/relationships/hyperlink" Target="https://litmus.com/folders/324180/emails/18452986/analytics" TargetMode="External"/><Relationship Id="rId181" Type="http://schemas.openxmlformats.org/officeDocument/2006/relationships/hyperlink" Target="https://experience.adobe.com/" TargetMode="External"/><Relationship Id="rId237" Type="http://schemas.openxmlformats.org/officeDocument/2006/relationships/hyperlink" Target="https://experience.adobe.com/" TargetMode="External"/><Relationship Id="rId279" Type="http://schemas.openxmlformats.org/officeDocument/2006/relationships/hyperlink" Target="https://experience.adobe.com/" TargetMode="External"/><Relationship Id="rId43" Type="http://schemas.openxmlformats.org/officeDocument/2006/relationships/hyperlink" Target="https://experience.adobe.com/" TargetMode="External"/><Relationship Id="rId139" Type="http://schemas.openxmlformats.org/officeDocument/2006/relationships/hyperlink" Target="https://litmus.com/folders/366549/emails/18737825/analytics" TargetMode="External"/><Relationship Id="rId290" Type="http://schemas.openxmlformats.org/officeDocument/2006/relationships/hyperlink" Target="https://litmus.com/analytics?search=basic&amp;days=60" TargetMode="External"/><Relationship Id="rId304" Type="http://schemas.openxmlformats.org/officeDocument/2006/relationships/hyperlink" Target="https://experience.adobe.com/" TargetMode="External"/><Relationship Id="rId346" Type="http://schemas.openxmlformats.org/officeDocument/2006/relationships/hyperlink" Target="https://experience.adobe.com/" TargetMode="External"/><Relationship Id="rId85" Type="http://schemas.openxmlformats.org/officeDocument/2006/relationships/hyperlink" Target="https://litmus.com/folders/324180/emails/18892607/analytics"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experience.adobe.com/" TargetMode="External"/><Relationship Id="rId248" Type="http://schemas.openxmlformats.org/officeDocument/2006/relationships/hyperlink" Target="https://litmus.com/folders/416254/emails/19189222/analytics" TargetMode="External"/><Relationship Id="rId12" Type="http://schemas.openxmlformats.org/officeDocument/2006/relationships/hyperlink" Target="https://experience.adobe.com/" TargetMode="External"/><Relationship Id="rId108" Type="http://schemas.openxmlformats.org/officeDocument/2006/relationships/hyperlink" Target="https://experience.adobe.com/" TargetMode="External"/><Relationship Id="rId315" Type="http://schemas.openxmlformats.org/officeDocument/2006/relationships/hyperlink" Target="https://experience.adobe.com/" TargetMode="External"/><Relationship Id="rId357" Type="http://schemas.openxmlformats.org/officeDocument/2006/relationships/hyperlink" Target="https://experience.adobe.com/" TargetMode="External"/><Relationship Id="rId54" Type="http://schemas.openxmlformats.org/officeDocument/2006/relationships/hyperlink" Target="https://experience.adobe.com/" TargetMode="External"/><Relationship Id="rId96" Type="http://schemas.openxmlformats.org/officeDocument/2006/relationships/hyperlink" Target="https://litmus.com/folders/405552/emails/18364177/analytics" TargetMode="External"/><Relationship Id="rId161" Type="http://schemas.openxmlformats.org/officeDocument/2006/relationships/hyperlink" Target="https://litmus.com/folders/324180/emails/18892607/analytics" TargetMode="External"/><Relationship Id="rId217"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litmus.com/folders/405552/emails/18364177/analytics" TargetMode="External"/><Relationship Id="rId119" Type="http://schemas.openxmlformats.org/officeDocument/2006/relationships/hyperlink" Target="https://experience.adobe.com/" TargetMode="External"/><Relationship Id="rId270" Type="http://schemas.openxmlformats.org/officeDocument/2006/relationships/hyperlink" Target="https://experience.adobe.com/" TargetMode="External"/><Relationship Id="rId326" Type="http://schemas.openxmlformats.org/officeDocument/2006/relationships/hyperlink" Target="https://experience.adobe.com/" TargetMode="External"/><Relationship Id="rId65" Type="http://schemas.openxmlformats.org/officeDocument/2006/relationships/hyperlink" Target="https://litmus.com/folders/405552/emails/18192937/analytics" TargetMode="External"/><Relationship Id="rId130" Type="http://schemas.openxmlformats.org/officeDocument/2006/relationships/hyperlink" Target="https://experience.adobe.com/" TargetMode="External"/><Relationship Id="rId368" Type="http://schemas.openxmlformats.org/officeDocument/2006/relationships/hyperlink" Target="https://experience.adobe.com/" TargetMode="External"/><Relationship Id="rId172" Type="http://schemas.openxmlformats.org/officeDocument/2006/relationships/hyperlink" Target="https://litmus.com/folders/420731/emails/18878858/analytics" TargetMode="External"/><Relationship Id="rId228" Type="http://schemas.openxmlformats.org/officeDocument/2006/relationships/hyperlink" Target="https://experience.adobe.com/" TargetMode="External"/><Relationship Id="rId281" Type="http://schemas.openxmlformats.org/officeDocument/2006/relationships/hyperlink" Target="https://experience.adobe.com/" TargetMode="External"/><Relationship Id="rId337" Type="http://schemas.openxmlformats.org/officeDocument/2006/relationships/hyperlink" Target="https://litmus.com/folders/324180/emails/20279342/analytics" TargetMode="External"/><Relationship Id="rId34" Type="http://schemas.openxmlformats.org/officeDocument/2006/relationships/hyperlink" Target="https://experience.adobe.com/" TargetMode="External"/><Relationship Id="rId76" Type="http://schemas.openxmlformats.org/officeDocument/2006/relationships/hyperlink" Target="https://experience.adobe.com/" TargetMode="External"/><Relationship Id="rId141" Type="http://schemas.openxmlformats.org/officeDocument/2006/relationships/hyperlink" Target="https://litmus.com/folders/324180/emails/19029860/analytics" TargetMode="External"/><Relationship Id="rId379" Type="http://schemas.openxmlformats.org/officeDocument/2006/relationships/hyperlink" Target="https://litmus.com/folders/324180/emails/20471793/analytics" TargetMode="External"/><Relationship Id="rId7" Type="http://schemas.openxmlformats.org/officeDocument/2006/relationships/hyperlink" Target="https://litmus.com/folders/324180/emails/18452988/analytics" TargetMode="External"/><Relationship Id="rId183"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litmus.com/folders/416254/emails/19189222/analytics" TargetMode="External"/><Relationship Id="rId292" Type="http://schemas.openxmlformats.org/officeDocument/2006/relationships/hyperlink" Target="https://experience.adobe.com/" TargetMode="External"/><Relationship Id="rId306" Type="http://schemas.openxmlformats.org/officeDocument/2006/relationships/hyperlink" Target="https://experience.adobe.com/" TargetMode="External"/><Relationship Id="rId45" Type="http://schemas.openxmlformats.org/officeDocument/2006/relationships/hyperlink" Target="https://experience.adobe.com/" TargetMode="External"/><Relationship Id="rId87" Type="http://schemas.openxmlformats.org/officeDocument/2006/relationships/hyperlink" Target="https://litmus.com/folders/421343/emails/18865528/analytics" TargetMode="External"/><Relationship Id="rId110" Type="http://schemas.openxmlformats.org/officeDocument/2006/relationships/hyperlink" Target="https://experience.adobe.com/" TargetMode="External"/><Relationship Id="rId348" Type="http://schemas.openxmlformats.org/officeDocument/2006/relationships/hyperlink" Target="https://experience.adobe.com/" TargetMode="External"/><Relationship Id="rId152" Type="http://schemas.openxmlformats.org/officeDocument/2006/relationships/hyperlink" Target="https://experience.adobe.com/" TargetMode="External"/><Relationship Id="rId194" Type="http://schemas.openxmlformats.org/officeDocument/2006/relationships/hyperlink" Target="https://litmus.com/folders/366549/emails/19127170/analytics" TargetMode="External"/><Relationship Id="rId208"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56" Type="http://schemas.openxmlformats.org/officeDocument/2006/relationships/hyperlink" Target="https://experience.adobe.com/" TargetMode="External"/><Relationship Id="rId317" Type="http://schemas.openxmlformats.org/officeDocument/2006/relationships/hyperlink" Target="https://experience.adobe.com/" TargetMode="External"/><Relationship Id="rId359"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experience.adobe.com/" TargetMode="External"/><Relationship Id="rId163" Type="http://schemas.openxmlformats.org/officeDocument/2006/relationships/hyperlink" Target="https://litmus.com/folders/324180/emails/18892611/analytics" TargetMode="External"/><Relationship Id="rId219" Type="http://schemas.openxmlformats.org/officeDocument/2006/relationships/hyperlink" Target="https://experience.adobe.com/" TargetMode="External"/><Relationship Id="rId370"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 Type="http://schemas.openxmlformats.org/officeDocument/2006/relationships/hyperlink" Target="https://experience.adobe.com/" TargetMode="External"/><Relationship Id="rId67" Type="http://schemas.openxmlformats.org/officeDocument/2006/relationships/hyperlink" Target="https://litmus.com/folders/405552/emails/18192937/analytics" TargetMode="External"/><Relationship Id="rId272" Type="http://schemas.openxmlformats.org/officeDocument/2006/relationships/hyperlink" Target="https://experience.adobe.com/" TargetMode="External"/><Relationship Id="rId328" Type="http://schemas.openxmlformats.org/officeDocument/2006/relationships/hyperlink" Target="https://experience.adobe.com/" TargetMode="External"/><Relationship Id="rId132"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381" Type="http://schemas.openxmlformats.org/officeDocument/2006/relationships/hyperlink" Target="https://litmus.com/folders/324180/emails/20278713/analytics" TargetMode="External"/><Relationship Id="rId241" Type="http://schemas.openxmlformats.org/officeDocument/2006/relationships/hyperlink" Target="https://experience.adobe.com/" TargetMode="External"/><Relationship Id="rId36" Type="http://schemas.openxmlformats.org/officeDocument/2006/relationships/hyperlink" Target="https://experience.adobe.com/" TargetMode="External"/><Relationship Id="rId283" Type="http://schemas.openxmlformats.org/officeDocument/2006/relationships/hyperlink" Target="https://experience.adobe.com/" TargetMode="External"/><Relationship Id="rId339" Type="http://schemas.openxmlformats.org/officeDocument/2006/relationships/hyperlink" Target="https://litmus.com/folders/445617/emails/19937274/analytics" TargetMode="External"/><Relationship Id="rId78" Type="http://schemas.openxmlformats.org/officeDocument/2006/relationships/hyperlink" Target="https://experience.adobe.com/" TargetMode="External"/><Relationship Id="rId101" Type="http://schemas.openxmlformats.org/officeDocument/2006/relationships/hyperlink" Target="https://litmus.com/folders/418112/emails/18807835/analytics" TargetMode="External"/><Relationship Id="rId143" Type="http://schemas.openxmlformats.org/officeDocument/2006/relationships/hyperlink" Target="https://litmus.com/folders/419116/emails/18956115/analytics" TargetMode="External"/><Relationship Id="rId185" Type="http://schemas.openxmlformats.org/officeDocument/2006/relationships/hyperlink" Target="https://experience.adobe.com/" TargetMode="External"/><Relationship Id="rId350" Type="http://schemas.openxmlformats.org/officeDocument/2006/relationships/hyperlink" Target="https://litmus.com/folders/308698/emails/13915180/analytics" TargetMode="External"/><Relationship Id="rId9" Type="http://schemas.openxmlformats.org/officeDocument/2006/relationships/hyperlink" Target="https://litmus.com/folders/324180/emails/18452760/analytics" TargetMode="External"/><Relationship Id="rId210" Type="http://schemas.openxmlformats.org/officeDocument/2006/relationships/hyperlink" Target="https://experience.adobe.com/" TargetMode="External"/><Relationship Id="rId252" Type="http://schemas.openxmlformats.org/officeDocument/2006/relationships/hyperlink" Target="https://litmus.com/folders/416254/emails/19189222/analytics" TargetMode="External"/><Relationship Id="rId294" Type="http://schemas.openxmlformats.org/officeDocument/2006/relationships/hyperlink" Target="https://experience.adobe.com/" TargetMode="External"/><Relationship Id="rId308" Type="http://schemas.openxmlformats.org/officeDocument/2006/relationships/hyperlink" Target="https://litmus.com/folders/416254/emails/19414929/analytics" TargetMode="External"/><Relationship Id="rId47" Type="http://schemas.openxmlformats.org/officeDocument/2006/relationships/hyperlink" Target="https://experience.adobe.com/" TargetMode="External"/><Relationship Id="rId68" Type="http://schemas.openxmlformats.org/officeDocument/2006/relationships/hyperlink" Target="https://experience.adobe.com/" TargetMode="External"/><Relationship Id="rId89" Type="http://schemas.openxmlformats.org/officeDocument/2006/relationships/hyperlink" Target="https://litmus.com/folders/324180/emails/18752012/analytics" TargetMode="External"/><Relationship Id="rId112" Type="http://schemas.openxmlformats.org/officeDocument/2006/relationships/hyperlink" Target="https://experience.adobe.com/" TargetMode="External"/><Relationship Id="rId133" Type="http://schemas.openxmlformats.org/officeDocument/2006/relationships/hyperlink" Target="https://experience.adobe.com/"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340" Type="http://schemas.openxmlformats.org/officeDocument/2006/relationships/hyperlink" Target="https://experience.adobe.com/" TargetMode="External"/><Relationship Id="rId361" Type="http://schemas.openxmlformats.org/officeDocument/2006/relationships/hyperlink" Target="https://experience.adobe.com/" TargetMode="External"/><Relationship Id="rId196" Type="http://schemas.openxmlformats.org/officeDocument/2006/relationships/hyperlink" Target="https://litmus.com/folders/324180/emails/19371176/analytics" TargetMode="External"/><Relationship Id="rId200" Type="http://schemas.openxmlformats.org/officeDocument/2006/relationships/hyperlink" Target="https://litmus.com/folders/324180/emails/19386462/analytics" TargetMode="External"/><Relationship Id="rId382" Type="http://schemas.openxmlformats.org/officeDocument/2006/relationships/hyperlink" Target="https://litmus.com/folders/324180/emails/20278714/analytics"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litmus.com/analytics?search=basic&amp;days=60" TargetMode="External"/><Relationship Id="rId319" Type="http://schemas.openxmlformats.org/officeDocument/2006/relationships/hyperlink" Target="https://experience.adobe.com/" TargetMode="External"/><Relationship Id="rId37" Type="http://schemas.openxmlformats.org/officeDocument/2006/relationships/hyperlink" Target="https://experience.adobe.com/" TargetMode="External"/><Relationship Id="rId58" Type="http://schemas.openxmlformats.org/officeDocument/2006/relationships/hyperlink" Target="https://experience.adobe.com/" TargetMode="External"/><Relationship Id="rId79" Type="http://schemas.openxmlformats.org/officeDocument/2006/relationships/hyperlink" Target="https://litmus.com/folders/324180/emails/18823362/analytics" TargetMode="External"/><Relationship Id="rId102" Type="http://schemas.openxmlformats.org/officeDocument/2006/relationships/hyperlink" Target="https://experience.adobe.com/" TargetMode="External"/><Relationship Id="rId123" Type="http://schemas.openxmlformats.org/officeDocument/2006/relationships/hyperlink" Target="https://experience.adobe.com/" TargetMode="External"/><Relationship Id="rId144" Type="http://schemas.openxmlformats.org/officeDocument/2006/relationships/hyperlink" Target="https://experience.adobe.com/" TargetMode="External"/><Relationship Id="rId330" Type="http://schemas.openxmlformats.org/officeDocument/2006/relationships/hyperlink" Target="https://experience.adobe.com/" TargetMode="External"/><Relationship Id="rId90" Type="http://schemas.openxmlformats.org/officeDocument/2006/relationships/hyperlink" Target="https://experience.adobe.com/" TargetMode="External"/><Relationship Id="rId165" Type="http://schemas.openxmlformats.org/officeDocument/2006/relationships/hyperlink" Target="https://litmus.com/folders/420447/emails/19098417/analytics" TargetMode="External"/><Relationship Id="rId186" Type="http://schemas.openxmlformats.org/officeDocument/2006/relationships/hyperlink" Target="https://litmus.com/folders/372742/emails/16700910/analytics" TargetMode="External"/><Relationship Id="rId351" Type="http://schemas.openxmlformats.org/officeDocument/2006/relationships/hyperlink" Target="https://experience.adobe.com/" TargetMode="External"/><Relationship Id="rId372"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litmus.com/folders/416254/emails/19189222/analytics" TargetMode="External"/><Relationship Id="rId274" Type="http://schemas.openxmlformats.org/officeDocument/2006/relationships/hyperlink" Target="https://experience.adobe.com/" TargetMode="External"/><Relationship Id="rId295" Type="http://schemas.openxmlformats.org/officeDocument/2006/relationships/hyperlink" Target="https://litmus.com/folders/324180/emails/19788343/analytics" TargetMode="External"/><Relationship Id="rId309" Type="http://schemas.openxmlformats.org/officeDocument/2006/relationships/hyperlink" Target="https://experience.adobe.com/" TargetMode="External"/><Relationship Id="rId27" Type="http://schemas.openxmlformats.org/officeDocument/2006/relationships/hyperlink" Target="https://experience.adobe.com/"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24180/emails/18752012/analytics" TargetMode="External"/><Relationship Id="rId113" Type="http://schemas.openxmlformats.org/officeDocument/2006/relationships/hyperlink" Target="https://litmus.com/folders/418112/emails/18808537/analytics" TargetMode="External"/><Relationship Id="rId134" Type="http://schemas.openxmlformats.org/officeDocument/2006/relationships/hyperlink" Target="https://experience.adobe.com/" TargetMode="External"/><Relationship Id="rId320" Type="http://schemas.openxmlformats.org/officeDocument/2006/relationships/hyperlink" Target="https://experience.adobe.com/" TargetMode="External"/><Relationship Id="rId80" Type="http://schemas.openxmlformats.org/officeDocument/2006/relationships/hyperlink" Target="https://experience.adobe.com/" TargetMode="External"/><Relationship Id="rId155" Type="http://schemas.openxmlformats.org/officeDocument/2006/relationships/hyperlink" Target="https://litmus.com/folders/420447/emails/19021328/analytics" TargetMode="External"/><Relationship Id="rId176" Type="http://schemas.openxmlformats.org/officeDocument/2006/relationships/hyperlink" Target="https://litmus.com/folders/416254/emails/19097350/analytics" TargetMode="External"/><Relationship Id="rId197" Type="http://schemas.openxmlformats.org/officeDocument/2006/relationships/hyperlink" Target="https://experience.adobe.com/" TargetMode="External"/><Relationship Id="rId341" Type="http://schemas.openxmlformats.org/officeDocument/2006/relationships/hyperlink" Target="https://litmus.com/folders/445617/emails/19937261/analytics" TargetMode="External"/><Relationship Id="rId362" Type="http://schemas.openxmlformats.org/officeDocument/2006/relationships/hyperlink" Target="https://experience.adobe.com/" TargetMode="External"/><Relationship Id="rId383" Type="http://schemas.openxmlformats.org/officeDocument/2006/relationships/hyperlink" Target="https://litmus.com/folders/324180/emails/20278716/analytics" TargetMode="External"/><Relationship Id="rId201" Type="http://schemas.openxmlformats.org/officeDocument/2006/relationships/hyperlink" Target="https://experience.adobe.com/" TargetMode="External"/><Relationship Id="rId222" Type="http://schemas.openxmlformats.org/officeDocument/2006/relationships/hyperlink" Target="https://experience.adobe.com/"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experience.adobe.com/" TargetMode="External"/><Relationship Id="rId17" Type="http://schemas.openxmlformats.org/officeDocument/2006/relationships/hyperlink" Target="https://litmus.com/folders/324180/emails/18485780/analytics" TargetMode="External"/><Relationship Id="rId38" Type="http://schemas.openxmlformats.org/officeDocument/2006/relationships/hyperlink" Target="https://experience.adobe.com/" TargetMode="External"/><Relationship Id="rId59" Type="http://schemas.openxmlformats.org/officeDocument/2006/relationships/hyperlink" Target="https://experience.adobe.com/" TargetMode="External"/><Relationship Id="rId103" Type="http://schemas.openxmlformats.org/officeDocument/2006/relationships/hyperlink" Target="https://litmus.com/folders/418112/emails/18808545/analytics" TargetMode="External"/><Relationship Id="rId124" Type="http://schemas.openxmlformats.org/officeDocument/2006/relationships/hyperlink" Target="https://experience.adobe.com/" TargetMode="External"/><Relationship Id="rId310" Type="http://schemas.openxmlformats.org/officeDocument/2006/relationships/hyperlink" Target="https://litmus.com/folders/445617/emails/19937274/analytics"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366549/emails/18664429/analytics" TargetMode="External"/><Relationship Id="rId145" Type="http://schemas.openxmlformats.org/officeDocument/2006/relationships/hyperlink" Target="https://litmus.com/folders/324180/emails/19043996/analytics"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331" Type="http://schemas.openxmlformats.org/officeDocument/2006/relationships/hyperlink" Target="https://experience.adobe.com/" TargetMode="External"/><Relationship Id="rId352" Type="http://schemas.openxmlformats.org/officeDocument/2006/relationships/hyperlink" Target="https://experience.adobe.com/" TargetMode="External"/><Relationship Id="rId373" Type="http://schemas.openxmlformats.org/officeDocument/2006/relationships/hyperlink" Target="https://experience.adobe.com/"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litmus.com/folders/416254/emails/19189222/analytics" TargetMode="External"/><Relationship Id="rId28" Type="http://schemas.openxmlformats.org/officeDocument/2006/relationships/hyperlink" Target="https://litmus.com/folders/324180/emails/18529296/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experience.adobe.com/" TargetMode="External"/><Relationship Id="rId296" Type="http://schemas.openxmlformats.org/officeDocument/2006/relationships/hyperlink" Target="https://experience.adobe.com/" TargetMode="External"/><Relationship Id="rId300" Type="http://schemas.openxmlformats.org/officeDocument/2006/relationships/hyperlink" Target="https://experience.adobe.com/" TargetMode="External"/><Relationship Id="rId60" Type="http://schemas.openxmlformats.org/officeDocument/2006/relationships/hyperlink" Target="https://experience.adobe.com/" TargetMode="External"/><Relationship Id="rId81" Type="http://schemas.openxmlformats.org/officeDocument/2006/relationships/hyperlink" Target="https://litmus.com/folders/324180/emails/18823361/analytics" TargetMode="External"/><Relationship Id="rId135" Type="http://schemas.openxmlformats.org/officeDocument/2006/relationships/hyperlink" Target="https://litmus.com/folders/419116/emails/18877286/analytics" TargetMode="External"/><Relationship Id="rId156" Type="http://schemas.openxmlformats.org/officeDocument/2006/relationships/hyperlink" Target="https://experience.adobe.com/" TargetMode="External"/><Relationship Id="rId177" Type="http://schemas.openxmlformats.org/officeDocument/2006/relationships/hyperlink" Target="https://experience.adobe.com/" TargetMode="External"/><Relationship Id="rId198" Type="http://schemas.openxmlformats.org/officeDocument/2006/relationships/hyperlink" Target="https://litmus.com/folders/324180/emails/19386461/analytics" TargetMode="External"/><Relationship Id="rId321" Type="http://schemas.openxmlformats.org/officeDocument/2006/relationships/hyperlink" Target="https://litmus.com/folders/308698/emails/13915180/analytics" TargetMode="External"/><Relationship Id="rId342" Type="http://schemas.openxmlformats.org/officeDocument/2006/relationships/hyperlink" Target="https://experience.adobe.com/" TargetMode="External"/><Relationship Id="rId363" Type="http://schemas.openxmlformats.org/officeDocument/2006/relationships/hyperlink" Target="https://experience.adobe.com/" TargetMode="External"/><Relationship Id="rId384" Type="http://schemas.openxmlformats.org/officeDocument/2006/relationships/hyperlink" Target="https://litmus.com/folders/324180/emails/20278715/analytics" TargetMode="External"/><Relationship Id="rId202" Type="http://schemas.openxmlformats.org/officeDocument/2006/relationships/hyperlink" Target="https://experience.adobe.com/" TargetMode="External"/><Relationship Id="rId223" Type="http://schemas.openxmlformats.org/officeDocument/2006/relationships/hyperlink" Target="https://experience.adobe.com/" TargetMode="External"/><Relationship Id="rId244" Type="http://schemas.openxmlformats.org/officeDocument/2006/relationships/hyperlink" Target="https://experience.adobe.com/"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324180/emails/18679502/analytics" TargetMode="External"/><Relationship Id="rId265" Type="http://schemas.openxmlformats.org/officeDocument/2006/relationships/hyperlink" Target="https://experience.adobe.com/" TargetMode="External"/><Relationship Id="rId286" Type="http://schemas.openxmlformats.org/officeDocument/2006/relationships/hyperlink" Target="https://litmus.com/analytics?search=basic&amp;days=60" TargetMode="External"/><Relationship Id="rId50" Type="http://schemas.openxmlformats.org/officeDocument/2006/relationships/hyperlink" Target="https://experience.adobe.com/" TargetMode="External"/><Relationship Id="rId104" Type="http://schemas.openxmlformats.org/officeDocument/2006/relationships/hyperlink" Target="https://experience.adobe.com/" TargetMode="External"/><Relationship Id="rId125" Type="http://schemas.openxmlformats.org/officeDocument/2006/relationships/hyperlink" Target="https://experience.adobe.com/"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litmus.com/folders/358386/emails/19028939/analytics" TargetMode="External"/><Relationship Id="rId311" Type="http://schemas.openxmlformats.org/officeDocument/2006/relationships/hyperlink" Target="https://experience.adobe.com/" TargetMode="External"/><Relationship Id="rId332" Type="http://schemas.openxmlformats.org/officeDocument/2006/relationships/hyperlink" Target="https://experience.adobe.com/" TargetMode="External"/><Relationship Id="rId353" Type="http://schemas.openxmlformats.org/officeDocument/2006/relationships/hyperlink" Target="https://experience.adobe.com/" TargetMode="External"/><Relationship Id="rId374" Type="http://schemas.openxmlformats.org/officeDocument/2006/relationships/hyperlink" Target="https://experience.adobe.com/" TargetMode="External"/><Relationship Id="rId71" Type="http://schemas.openxmlformats.org/officeDocument/2006/relationships/hyperlink" Target="https://litmus.com/folders/366549/emails/18664429/analytics" TargetMode="External"/><Relationship Id="rId92" Type="http://schemas.openxmlformats.org/officeDocument/2006/relationships/hyperlink" Target="https://litmus.com/folders/421343/emails/18865528/analyticshttps:/experience.adobe.com/"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experience.adobe.com/" TargetMode="External"/><Relationship Id="rId255" Type="http://schemas.openxmlformats.org/officeDocument/2006/relationships/hyperlink" Target="https://litmus.com/folders/429312/emails/19314145/analytics" TargetMode="External"/><Relationship Id="rId276" Type="http://schemas.openxmlformats.org/officeDocument/2006/relationships/hyperlink" Target="https://experience.adobe.com/" TargetMode="External"/><Relationship Id="rId297" Type="http://schemas.openxmlformats.org/officeDocument/2006/relationships/hyperlink" Target="https://litmus.com/folders/324180/emails/19623966/analytics" TargetMode="External"/><Relationship Id="rId40" Type="http://schemas.openxmlformats.org/officeDocument/2006/relationships/hyperlink" Target="https://experience.adobe.com/" TargetMode="External"/><Relationship Id="rId115" Type="http://schemas.openxmlformats.org/officeDocument/2006/relationships/hyperlink" Target="https://litmus.com/folders/418112/emails/18808809/analytics" TargetMode="External"/><Relationship Id="rId136" Type="http://schemas.openxmlformats.org/officeDocument/2006/relationships/hyperlink" Target="https://experience.adobe.com/" TargetMode="External"/><Relationship Id="rId157" Type="http://schemas.openxmlformats.org/officeDocument/2006/relationships/hyperlink" Target="https://litmus.com/folders/419116/emails/18877130/analytics" TargetMode="External"/><Relationship Id="rId178" Type="http://schemas.openxmlformats.org/officeDocument/2006/relationships/hyperlink" Target="https://litmus.com/folders/416254/emails/19097350/analytics" TargetMode="External"/><Relationship Id="rId301" Type="http://schemas.openxmlformats.org/officeDocument/2006/relationships/hyperlink" Target="https://litmus.com/folders/324180/emails/19869017/analytics" TargetMode="External"/><Relationship Id="rId322" Type="http://schemas.openxmlformats.org/officeDocument/2006/relationships/hyperlink" Target="https://experience.adobe.com/" TargetMode="External"/><Relationship Id="rId343" Type="http://schemas.openxmlformats.org/officeDocument/2006/relationships/hyperlink" Target="https://litmus.com/folders/445617/emails/19937180/analytics" TargetMode="External"/><Relationship Id="rId364" Type="http://schemas.openxmlformats.org/officeDocument/2006/relationships/hyperlink" Target="https://experience.adobe.com/" TargetMode="External"/><Relationship Id="rId61" Type="http://schemas.openxmlformats.org/officeDocument/2006/relationships/hyperlink" Target="https://experience.adobe.com/" TargetMode="External"/><Relationship Id="rId82" Type="http://schemas.openxmlformats.org/officeDocument/2006/relationships/hyperlink" Target="https://experience.adobe.com/" TargetMode="External"/><Relationship Id="rId199" Type="http://schemas.openxmlformats.org/officeDocument/2006/relationships/hyperlink" Target="https://experience.adobe.com/" TargetMode="External"/><Relationship Id="rId203" Type="http://schemas.openxmlformats.org/officeDocument/2006/relationships/hyperlink" Target="https://experience.adobe.com/" TargetMode="External"/><Relationship Id="rId385" Type="http://schemas.openxmlformats.org/officeDocument/2006/relationships/vmlDrawing" Target="../drawings/vmlDrawing1.vml"/><Relationship Id="rId19" Type="http://schemas.openxmlformats.org/officeDocument/2006/relationships/hyperlink" Target="https://litmus.com/folders/324180/emails/18485781/analytics" TargetMode="External"/><Relationship Id="rId224" Type="http://schemas.openxmlformats.org/officeDocument/2006/relationships/hyperlink" Target="https://experience.adobe.com/" TargetMode="External"/><Relationship Id="rId245" Type="http://schemas.openxmlformats.org/officeDocument/2006/relationships/hyperlink" Target="https://litmus.com/folders/416254/emails/19189222/analytics" TargetMode="External"/><Relationship Id="rId266" Type="http://schemas.openxmlformats.org/officeDocument/2006/relationships/hyperlink" Target="https://experience.adobe.com/" TargetMode="External"/><Relationship Id="rId287" Type="http://schemas.openxmlformats.org/officeDocument/2006/relationships/hyperlink" Target="https://experience.adobe.com/" TargetMode="External"/><Relationship Id="rId30" Type="http://schemas.openxmlformats.org/officeDocument/2006/relationships/hyperlink" Target="https://experience.adobe.com/" TargetMode="External"/><Relationship Id="rId105" Type="http://schemas.openxmlformats.org/officeDocument/2006/relationships/hyperlink" Target="https://litmus.com/folders/418112/emails/18808822/analytics" TargetMode="External"/><Relationship Id="rId126" Type="http://schemas.openxmlformats.org/officeDocument/2006/relationships/hyperlink" Target="https://experience.adobe.com/" TargetMode="External"/><Relationship Id="rId147" Type="http://schemas.openxmlformats.org/officeDocument/2006/relationships/hyperlink" Target="https://litmus.com/folders/324180/emails/19043995/analytics" TargetMode="External"/><Relationship Id="rId168" Type="http://schemas.openxmlformats.org/officeDocument/2006/relationships/hyperlink" Target="https://litmus.com/folders/419116/emails/18956115/analytics" TargetMode="External"/><Relationship Id="rId312" Type="http://schemas.openxmlformats.org/officeDocument/2006/relationships/hyperlink" Target="https://litmus.com/folders/445617/emails/19937261/analytics" TargetMode="External"/><Relationship Id="rId333" Type="http://schemas.openxmlformats.org/officeDocument/2006/relationships/hyperlink" Target="https://experience.adobe.com/" TargetMode="External"/><Relationship Id="rId354" Type="http://schemas.openxmlformats.org/officeDocument/2006/relationships/hyperlink" Target="https://experience.adobe.com/" TargetMode="External"/><Relationship Id="rId51" Type="http://schemas.openxmlformats.org/officeDocument/2006/relationships/hyperlink" Target="https://experience.adobe.com/" TargetMode="External"/><Relationship Id="rId72" Type="http://schemas.openxmlformats.org/officeDocument/2006/relationships/hyperlink" Target="https://experience.adobe.com/" TargetMode="External"/><Relationship Id="rId93" Type="http://schemas.openxmlformats.org/officeDocument/2006/relationships/hyperlink" Target="https://litmus.com/folders/324180/emails/18965907/analytics" TargetMode="External"/><Relationship Id="rId189" Type="http://schemas.openxmlformats.org/officeDocument/2006/relationships/hyperlink" Target="https://experience.adobe.com/" TargetMode="External"/><Relationship Id="rId375" Type="http://schemas.openxmlformats.org/officeDocument/2006/relationships/hyperlink" Target="https://litmus.com/folders/324180/emails/20279341/analytics"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litmus.com/folders/429312/emails/19314145/analytics" TargetMode="External"/><Relationship Id="rId277" Type="http://schemas.openxmlformats.org/officeDocument/2006/relationships/hyperlink" Target="https://experience.adobe.com/" TargetMode="External"/><Relationship Id="rId298" Type="http://schemas.openxmlformats.org/officeDocument/2006/relationships/hyperlink" Target="https://experience.adobe.com/" TargetMode="External"/><Relationship Id="rId116" Type="http://schemas.openxmlformats.org/officeDocument/2006/relationships/hyperlink" Target="https://experience.adobe.com/" TargetMode="External"/><Relationship Id="rId137" Type="http://schemas.openxmlformats.org/officeDocument/2006/relationships/hyperlink" Target="https://litmus.com/folders/419116/emails/18877194/analytics" TargetMode="External"/><Relationship Id="rId158" Type="http://schemas.openxmlformats.org/officeDocument/2006/relationships/hyperlink" Target="https://litmus.com/folders/419116/emails/18808667/analytics" TargetMode="External"/><Relationship Id="rId302" Type="http://schemas.openxmlformats.org/officeDocument/2006/relationships/hyperlink" Target="https://experience.adobe.com/" TargetMode="External"/><Relationship Id="rId323" Type="http://schemas.openxmlformats.org/officeDocument/2006/relationships/hyperlink" Target="https://experience.adobe.com/" TargetMode="External"/><Relationship Id="rId344" Type="http://schemas.openxmlformats.org/officeDocument/2006/relationships/hyperlink" Target="https://experience.adobe.com/" TargetMode="External"/><Relationship Id="rId20" Type="http://schemas.openxmlformats.org/officeDocument/2006/relationships/hyperlink" Target="https://experience.adobe.com/" TargetMode="External"/><Relationship Id="rId41" Type="http://schemas.openxmlformats.org/officeDocument/2006/relationships/hyperlink" Target="https://litmus.com/folders/324180/emails/18679501/analytics" TargetMode="External"/><Relationship Id="rId62" Type="http://schemas.openxmlformats.org/officeDocument/2006/relationships/hyperlink" Target="https://experience.adobe.com/" TargetMode="External"/><Relationship Id="rId83" Type="http://schemas.openxmlformats.org/officeDocument/2006/relationships/hyperlink" Target="https://litmus.com/folders/324180/emails/18892611/analytics" TargetMode="External"/><Relationship Id="rId179" Type="http://schemas.openxmlformats.org/officeDocument/2006/relationships/hyperlink" Target="https://experience.adobe.com/" TargetMode="External"/><Relationship Id="rId365" Type="http://schemas.openxmlformats.org/officeDocument/2006/relationships/hyperlink" Target="https://experience.adobe.com/" TargetMode="External"/><Relationship Id="rId386" Type="http://schemas.openxmlformats.org/officeDocument/2006/relationships/table" Target="../tables/table1.xml"/><Relationship Id="rId190" Type="http://schemas.openxmlformats.org/officeDocument/2006/relationships/hyperlink" Target="https://litmus.com/folders/324180/emails/19332991/analytics" TargetMode="External"/><Relationship Id="rId204" Type="http://schemas.openxmlformats.org/officeDocument/2006/relationships/hyperlink" Target="https://experience.adobe.com/" TargetMode="External"/><Relationship Id="rId225" Type="http://schemas.openxmlformats.org/officeDocument/2006/relationships/hyperlink" Target="https://litmus.com/folders/366549/emails/19127170/analytics" TargetMode="External"/><Relationship Id="rId246" Type="http://schemas.openxmlformats.org/officeDocument/2006/relationships/hyperlink" Target="https://litmus.com/folders/416254/emails/19189222/analytics" TargetMode="External"/><Relationship Id="rId267" Type="http://schemas.openxmlformats.org/officeDocument/2006/relationships/hyperlink" Target="https://experience.adobe.com/" TargetMode="External"/><Relationship Id="rId288" Type="http://schemas.openxmlformats.org/officeDocument/2006/relationships/hyperlink" Target="https://litmus.com/analytics?search=basic&amp;days=60" TargetMode="External"/><Relationship Id="rId106" Type="http://schemas.openxmlformats.org/officeDocument/2006/relationships/hyperlink" Target="https://experience.adobe.com/" TargetMode="External"/><Relationship Id="rId127" Type="http://schemas.openxmlformats.org/officeDocument/2006/relationships/hyperlink" Target="https://experience.adobe.com/" TargetMode="External"/><Relationship Id="rId313" Type="http://schemas.openxmlformats.org/officeDocument/2006/relationships/hyperlink" Target="https://experience.adobe.com/"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619780/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358386/emails/18527135/analytics" TargetMode="External"/><Relationship Id="rId94" Type="http://schemas.openxmlformats.org/officeDocument/2006/relationships/hyperlink" Target="https://experience.adobe.com/"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334" Type="http://schemas.openxmlformats.org/officeDocument/2006/relationships/hyperlink" Target="https://experience.adobe.com/" TargetMode="External"/><Relationship Id="rId355" Type="http://schemas.openxmlformats.org/officeDocument/2006/relationships/hyperlink" Target="https://experience.adobe.com/" TargetMode="External"/><Relationship Id="rId376" Type="http://schemas.openxmlformats.org/officeDocument/2006/relationships/hyperlink" Target="https://litmus.com/folders/324180/emails/20279342/analytics" TargetMode="External"/><Relationship Id="rId4" Type="http://schemas.openxmlformats.org/officeDocument/2006/relationships/hyperlink" Target="https://experience.adobe.com/" TargetMode="External"/><Relationship Id="rId180" Type="http://schemas.openxmlformats.org/officeDocument/2006/relationships/hyperlink" Target="https://litmus.com/folders/372742/emails/16700910/analytics"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experience.adobe.com/" TargetMode="External"/><Relationship Id="rId278" Type="http://schemas.openxmlformats.org/officeDocument/2006/relationships/hyperlink" Target="https://experience.adobe.com/" TargetMode="External"/><Relationship Id="rId303" Type="http://schemas.openxmlformats.org/officeDocument/2006/relationships/hyperlink" Target="https://litmus.com/folders/324180/emails/19869016/analytics" TargetMode="External"/><Relationship Id="rId42" Type="http://schemas.openxmlformats.org/officeDocument/2006/relationships/hyperlink" Target="https://experience.adobe.com/" TargetMode="External"/><Relationship Id="rId84" Type="http://schemas.openxmlformats.org/officeDocument/2006/relationships/hyperlink" Target="https://experience.adobe.com/" TargetMode="External"/><Relationship Id="rId138" Type="http://schemas.openxmlformats.org/officeDocument/2006/relationships/hyperlink" Target="https://experience.adobe.com/" TargetMode="External"/><Relationship Id="rId345" Type="http://schemas.openxmlformats.org/officeDocument/2006/relationships/hyperlink" Target="https://litmus.com/folders/445617/emails/19937150/analytics" TargetMode="External"/><Relationship Id="rId387" Type="http://schemas.openxmlformats.org/officeDocument/2006/relationships/comments" Target="../comments1.xml"/><Relationship Id="rId191" Type="http://schemas.openxmlformats.org/officeDocument/2006/relationships/hyperlink" Target="https://experience.adobe.com/" TargetMode="External"/><Relationship Id="rId205" Type="http://schemas.openxmlformats.org/officeDocument/2006/relationships/hyperlink" Target="https://experience.adobe.com/" TargetMode="External"/><Relationship Id="rId247" Type="http://schemas.openxmlformats.org/officeDocument/2006/relationships/hyperlink" Target="https://litmus.com/folders/416254/emails/19189222/analytics" TargetMode="External"/><Relationship Id="rId107" Type="http://schemas.openxmlformats.org/officeDocument/2006/relationships/hyperlink" Target="https://litmus.com/folders/418112/emails/18808542/analytics" TargetMode="External"/><Relationship Id="rId289" Type="http://schemas.openxmlformats.org/officeDocument/2006/relationships/hyperlink" Target="https://experience.adobe.com/" TargetMode="External"/><Relationship Id="rId11" Type="http://schemas.openxmlformats.org/officeDocument/2006/relationships/hyperlink" Target="https://litmus.com/folders/324180/emails/18452759/analytics" TargetMode="External"/><Relationship Id="rId53" Type="http://schemas.openxmlformats.org/officeDocument/2006/relationships/hyperlink" Target="https://experience.adobe.com/" TargetMode="External"/><Relationship Id="rId149" Type="http://schemas.openxmlformats.org/officeDocument/2006/relationships/hyperlink" Target="https://litmus.com/folders/419116/emails/18877130/analytics" TargetMode="External"/><Relationship Id="rId314" Type="http://schemas.openxmlformats.org/officeDocument/2006/relationships/hyperlink" Target="https://litmus.com/folders/445617/emails/19937180/analytics" TargetMode="External"/><Relationship Id="rId356" Type="http://schemas.openxmlformats.org/officeDocument/2006/relationships/hyperlink" Target="https://experience.adobe.com/" TargetMode="External"/><Relationship Id="rId95" Type="http://schemas.openxmlformats.org/officeDocument/2006/relationships/hyperlink" Target="https://experience.adobe.com/"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experience.adobe.com/" TargetMode="External"/><Relationship Id="rId118" Type="http://schemas.openxmlformats.org/officeDocument/2006/relationships/hyperlink" Target="https://experience.adobe.com/" TargetMode="External"/><Relationship Id="rId325" Type="http://schemas.openxmlformats.org/officeDocument/2006/relationships/hyperlink" Target="https://experience.adobe.com/" TargetMode="External"/><Relationship Id="rId367"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litmus.com/folders/324180/emails/19371176/analytics" TargetMode="External"/><Relationship Id="rId269" Type="http://schemas.openxmlformats.org/officeDocument/2006/relationships/hyperlink" Target="https://experience.adobe.com/" TargetMode="External"/><Relationship Id="rId33" Type="http://schemas.openxmlformats.org/officeDocument/2006/relationships/hyperlink" Target="https://litmus.com/folders/324180/emails/18619775/analytics" TargetMode="External"/><Relationship Id="rId129" Type="http://schemas.openxmlformats.org/officeDocument/2006/relationships/hyperlink" Target="https://experience.adobe.com/" TargetMode="External"/><Relationship Id="rId280" Type="http://schemas.openxmlformats.org/officeDocument/2006/relationships/hyperlink" Target="https://experience.adobe.com/" TargetMode="External"/><Relationship Id="rId336" Type="http://schemas.openxmlformats.org/officeDocument/2006/relationships/hyperlink" Target="https://litmus.com/folders/444140/emails/19869296/analytics" TargetMode="External"/><Relationship Id="rId75" Type="http://schemas.openxmlformats.org/officeDocument/2006/relationships/hyperlink" Target="https://litmus.com/folders/324180/emails/18752356/analytics" TargetMode="External"/><Relationship Id="rId140" Type="http://schemas.openxmlformats.org/officeDocument/2006/relationships/hyperlink" Target="https://experience.adobe.com/" TargetMode="External"/><Relationship Id="rId182" Type="http://schemas.openxmlformats.org/officeDocument/2006/relationships/hyperlink" Target="https://litmus.com/folders/372742/emails/16700910/analytics" TargetMode="External"/><Relationship Id="rId378" Type="http://schemas.openxmlformats.org/officeDocument/2006/relationships/hyperlink" Target="https://litmus.com/folders/324180/emails/20471767/analytics"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91" Type="http://schemas.openxmlformats.org/officeDocument/2006/relationships/hyperlink" Target="https://experience.adobe.com/" TargetMode="External"/><Relationship Id="rId305" Type="http://schemas.openxmlformats.org/officeDocument/2006/relationships/hyperlink" Target="https://litmus.com/folders/440129/emails/19700152/analytics" TargetMode="External"/><Relationship Id="rId347" Type="http://schemas.openxmlformats.org/officeDocument/2006/relationships/hyperlink" Target="https://experience.adobe.com/" TargetMode="External"/><Relationship Id="rId44" Type="http://schemas.openxmlformats.org/officeDocument/2006/relationships/hyperlink" Target="https://experience.adobe.com/" TargetMode="External"/><Relationship Id="rId86" Type="http://schemas.openxmlformats.org/officeDocument/2006/relationships/hyperlink" Target="https://experience.adobe.com/" TargetMode="External"/><Relationship Id="rId151" Type="http://schemas.openxmlformats.org/officeDocument/2006/relationships/hyperlink" Target="https://litmus.com/folders/419116/emails/18808667/analytics"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49" Type="http://schemas.openxmlformats.org/officeDocument/2006/relationships/hyperlink" Target="https://litmus.com/folders/416254/emails/19189222/analytics" TargetMode="External"/><Relationship Id="rId13" Type="http://schemas.openxmlformats.org/officeDocument/2006/relationships/hyperlink" Target="https://litmus.com/folders/324180/emails/18300323/analytics" TargetMode="External"/><Relationship Id="rId109" Type="http://schemas.openxmlformats.org/officeDocument/2006/relationships/hyperlink" Target="https://litmus.com/folders/418112/emails/18808544/analytics" TargetMode="External"/><Relationship Id="rId260" Type="http://schemas.openxmlformats.org/officeDocument/2006/relationships/hyperlink" Target="https://experience.adobe.com/" TargetMode="External"/><Relationship Id="rId316" Type="http://schemas.openxmlformats.org/officeDocument/2006/relationships/hyperlink" Target="https://litmus.com/folders/445617/emails/19937150/analytics" TargetMode="External"/><Relationship Id="rId55" Type="http://schemas.openxmlformats.org/officeDocument/2006/relationships/hyperlink" Target="https://experience.adobe.com/" TargetMode="External"/><Relationship Id="rId97" Type="http://schemas.openxmlformats.org/officeDocument/2006/relationships/hyperlink" Target="https://experience.adobe.com/" TargetMode="External"/><Relationship Id="rId120" Type="http://schemas.openxmlformats.org/officeDocument/2006/relationships/hyperlink" Target="https://experience.adobe.com/" TargetMode="External"/><Relationship Id="rId358" Type="http://schemas.openxmlformats.org/officeDocument/2006/relationships/hyperlink" Target="https://experience.adobe.com/" TargetMode="External"/><Relationship Id="rId162"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71" Type="http://schemas.openxmlformats.org/officeDocument/2006/relationships/hyperlink" Target="https://experience.adobe.com/" TargetMode="External"/><Relationship Id="rId24" Type="http://schemas.openxmlformats.org/officeDocument/2006/relationships/hyperlink" Target="https://experience.adobe.com/" TargetMode="External"/><Relationship Id="rId66" Type="http://schemas.openxmlformats.org/officeDocument/2006/relationships/hyperlink" Target="https://experience.adobe.com/" TargetMode="External"/><Relationship Id="rId131" Type="http://schemas.openxmlformats.org/officeDocument/2006/relationships/hyperlink" Target="https://experience.adobe.com/" TargetMode="External"/><Relationship Id="rId327" Type="http://schemas.openxmlformats.org/officeDocument/2006/relationships/hyperlink" Target="https://experience.adobe.com/" TargetMode="External"/><Relationship Id="rId369" Type="http://schemas.openxmlformats.org/officeDocument/2006/relationships/hyperlink" Target="https://experience.adobe.com/" TargetMode="External"/><Relationship Id="rId173" Type="http://schemas.openxmlformats.org/officeDocument/2006/relationships/hyperlink" Target="https://experience.adobe.com/" TargetMode="External"/><Relationship Id="rId229" Type="http://schemas.openxmlformats.org/officeDocument/2006/relationships/hyperlink" Target="https://litmus.com/folders/324180/emails/19386461/analytics" TargetMode="External"/><Relationship Id="rId380" Type="http://schemas.openxmlformats.org/officeDocument/2006/relationships/hyperlink" Target="https://litmus.com/folders/324180/emails/20471791/analytics" TargetMode="External"/><Relationship Id="rId240" Type="http://schemas.openxmlformats.org/officeDocument/2006/relationships/hyperlink" Target="https://experience.adobe.com/" TargetMode="External"/><Relationship Id="rId35" Type="http://schemas.openxmlformats.org/officeDocument/2006/relationships/hyperlink" Target="https://experience.adobe.com/" TargetMode="External"/><Relationship Id="rId77" Type="http://schemas.openxmlformats.org/officeDocument/2006/relationships/hyperlink" Target="https://litmus.com/folders/366549/emails/18737825/analytics" TargetMode="External"/><Relationship Id="rId100" Type="http://schemas.openxmlformats.org/officeDocument/2006/relationships/hyperlink" Target="https://experience.adobe.com/" TargetMode="External"/><Relationship Id="rId282" Type="http://schemas.openxmlformats.org/officeDocument/2006/relationships/hyperlink" Target="https://experience.adobe.com/" TargetMode="External"/><Relationship Id="rId338" Type="http://schemas.openxmlformats.org/officeDocument/2006/relationships/hyperlink" Target="https://experience.adobe.com/" TargetMode="External"/><Relationship Id="rId8" Type="http://schemas.openxmlformats.org/officeDocument/2006/relationships/hyperlink" Target="https://experience.adobe.com/" TargetMode="External"/><Relationship Id="rId142" Type="http://schemas.openxmlformats.org/officeDocument/2006/relationships/hyperlink" Target="https://experience.adobe.com/" TargetMode="External"/><Relationship Id="rId184" Type="http://schemas.openxmlformats.org/officeDocument/2006/relationships/hyperlink" Target="https://litmus.com/folders/372742/emails/16700910/analytics" TargetMode="External"/><Relationship Id="rId251" Type="http://schemas.openxmlformats.org/officeDocument/2006/relationships/hyperlink" Target="https://litmus.com/folders/416254/emails/19189222/analytics" TargetMode="External"/><Relationship Id="rId46" Type="http://schemas.openxmlformats.org/officeDocument/2006/relationships/hyperlink" Target="https://experience.adobe.com/" TargetMode="External"/><Relationship Id="rId293" Type="http://schemas.openxmlformats.org/officeDocument/2006/relationships/hyperlink" Target="https://litmus.com/folders/438568/emails/19637767/analytics" TargetMode="External"/><Relationship Id="rId307" Type="http://schemas.openxmlformats.org/officeDocument/2006/relationships/hyperlink" Target="https://litmus.com/folders/440129/emails/19699239/analytics" TargetMode="External"/><Relationship Id="rId349" Type="http://schemas.openxmlformats.org/officeDocument/2006/relationships/hyperlink" Target="https://experience.adobe.com/" TargetMode="External"/><Relationship Id="rId88" Type="http://schemas.openxmlformats.org/officeDocument/2006/relationships/hyperlink" Target="https://experience.adobe.com/" TargetMode="External"/><Relationship Id="rId111" Type="http://schemas.openxmlformats.org/officeDocument/2006/relationships/hyperlink" Target="https://litmus.com/folders/418112/emails/18808813/analytics" TargetMode="External"/><Relationship Id="rId153" Type="http://schemas.openxmlformats.org/officeDocument/2006/relationships/hyperlink" Target="https://litmus.com/folders/419116/emails/18877094/analytics" TargetMode="External"/><Relationship Id="rId195" Type="http://schemas.openxmlformats.org/officeDocument/2006/relationships/hyperlink" Target="https://experience.adobe.com/" TargetMode="External"/><Relationship Id="rId209" Type="http://schemas.openxmlformats.org/officeDocument/2006/relationships/hyperlink" Target="https://experience.adobe.com/" TargetMode="External"/><Relationship Id="rId360" Type="http://schemas.openxmlformats.org/officeDocument/2006/relationships/hyperlink" Target="https://experience.adobe.com/" TargetMode="External"/><Relationship Id="rId220" Type="http://schemas.openxmlformats.org/officeDocument/2006/relationships/hyperlink" Target="https://experience.adobe.com/" TargetMode="External"/><Relationship Id="rId15" Type="http://schemas.openxmlformats.org/officeDocument/2006/relationships/hyperlink" Target="https://litmus.com/folders/324180/emails/18300326/analytics" TargetMode="External"/><Relationship Id="rId57" Type="http://schemas.openxmlformats.org/officeDocument/2006/relationships/hyperlink" Target="https://experience.adobe.com/" TargetMode="External"/><Relationship Id="rId262" Type="http://schemas.openxmlformats.org/officeDocument/2006/relationships/hyperlink" Target="https://experience.adobe.com/" TargetMode="External"/><Relationship Id="rId318" Type="http://schemas.openxmlformats.org/officeDocument/2006/relationships/hyperlink" Target="https://experience.adobe.com/" TargetMode="External"/><Relationship Id="rId99" Type="http://schemas.openxmlformats.org/officeDocument/2006/relationships/hyperlink" Target="https://litmus.com/folders/418112/emails/18808546/analytics" TargetMode="External"/><Relationship Id="rId122" Type="http://schemas.openxmlformats.org/officeDocument/2006/relationships/hyperlink" Target="https://experience.adobe.com/" TargetMode="External"/><Relationship Id="rId164" Type="http://schemas.openxmlformats.org/officeDocument/2006/relationships/hyperlink" Target="https://experience.adobe.com/" TargetMode="External"/><Relationship Id="rId371" Type="http://schemas.openxmlformats.org/officeDocument/2006/relationships/hyperlink" Target="https://experience.adobe.com/" TargetMode="External"/><Relationship Id="rId26" Type="http://schemas.openxmlformats.org/officeDocument/2006/relationships/hyperlink" Target="https://litmus.com/folders/324180/emails/18529297/analytics" TargetMode="External"/><Relationship Id="rId231" Type="http://schemas.openxmlformats.org/officeDocument/2006/relationships/hyperlink" Target="https://litmus.com/folders/324180/emails/19386462/analytics" TargetMode="External"/><Relationship Id="rId273" Type="http://schemas.openxmlformats.org/officeDocument/2006/relationships/hyperlink" Target="https://experience.adobe.com/" TargetMode="External"/><Relationship Id="rId329" Type="http://schemas.openxmlformats.org/officeDocument/2006/relationships/hyperlink" Target="https://experience.adob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311"/>
  <sheetViews>
    <sheetView tabSelected="1" zoomScale="92" workbookViewId="0">
      <pane ySplit="1" topLeftCell="A303" activePane="bottomLeft" state="frozen"/>
      <selection pane="bottomLeft" activeCell="A311" sqref="A311"/>
    </sheetView>
  </sheetViews>
  <sheetFormatPr defaultColWidth="10.875" defaultRowHeight="32.1" customHeight="1"/>
  <cols>
    <col min="1" max="1" width="10.625" style="48" customWidth="1"/>
    <col min="2" max="2" width="59" style="49" customWidth="1"/>
    <col min="3" max="3" width="28.875" style="63" bestFit="1" customWidth="1"/>
    <col min="4" max="4" width="15.25" style="83" bestFit="1" customWidth="1"/>
    <col min="5" max="5" width="20.75" style="83" customWidth="1"/>
    <col min="6" max="6" width="14.75" style="50" customWidth="1"/>
    <col min="7" max="7" width="15.375" style="51" customWidth="1"/>
    <col min="8" max="8" width="15.375" style="52" customWidth="1"/>
    <col min="9" max="9" width="15.125" style="52" customWidth="1"/>
    <col min="10" max="10" width="11.5" style="51" customWidth="1"/>
    <col min="11" max="11" width="15.375" style="74" customWidth="1"/>
    <col min="12" max="12" width="18.25" style="75" bestFit="1" customWidth="1"/>
    <col min="13" max="15" width="21" style="75" customWidth="1"/>
    <col min="16" max="16" width="13.875" style="54" bestFit="1" customWidth="1"/>
    <col min="17" max="17" width="17.125" style="53" customWidth="1"/>
    <col min="18" max="18" width="15.625" style="55" bestFit="1" customWidth="1"/>
    <col min="19" max="19" width="15.625" style="45" bestFit="1" customWidth="1"/>
    <col min="20" max="20" width="74.625" style="56" customWidth="1"/>
    <col min="21" max="16384" width="10.875" style="45"/>
  </cols>
  <sheetData>
    <row r="1" spans="1:20" s="42" customFormat="1" ht="32.1" customHeight="1">
      <c r="A1" s="33" t="s">
        <v>0</v>
      </c>
      <c r="B1" s="34" t="s">
        <v>1</v>
      </c>
      <c r="C1" s="62" t="s">
        <v>2</v>
      </c>
      <c r="D1" s="77" t="s">
        <v>3</v>
      </c>
      <c r="E1" s="77" t="s">
        <v>4</v>
      </c>
      <c r="F1" s="35" t="s">
        <v>5</v>
      </c>
      <c r="G1" s="36" t="s">
        <v>6</v>
      </c>
      <c r="H1" s="37" t="s">
        <v>7</v>
      </c>
      <c r="I1" s="38" t="s">
        <v>8</v>
      </c>
      <c r="J1" s="36" t="s">
        <v>9</v>
      </c>
      <c r="K1" s="69" t="s">
        <v>10</v>
      </c>
      <c r="L1" s="69" t="s">
        <v>11</v>
      </c>
      <c r="M1" s="70" t="s">
        <v>12</v>
      </c>
      <c r="N1" s="70" t="s">
        <v>13</v>
      </c>
      <c r="O1" s="70" t="s">
        <v>14</v>
      </c>
      <c r="P1" s="39" t="s">
        <v>15</v>
      </c>
      <c r="Q1" s="40" t="s">
        <v>16</v>
      </c>
      <c r="R1" s="40" t="s">
        <v>17</v>
      </c>
      <c r="S1" s="40" t="s">
        <v>18</v>
      </c>
      <c r="T1" s="41" t="s">
        <v>19</v>
      </c>
    </row>
    <row r="2" spans="1:20" ht="32.1" customHeight="1">
      <c r="A2" s="43">
        <v>14</v>
      </c>
      <c r="B2" s="7" t="s">
        <v>20</v>
      </c>
      <c r="C2" s="64">
        <v>45839</v>
      </c>
      <c r="D2" s="78" t="s">
        <v>21</v>
      </c>
      <c r="E2" s="78" t="s">
        <v>22</v>
      </c>
      <c r="F2" s="9" t="s">
        <v>23</v>
      </c>
      <c r="G2" s="44">
        <v>2159</v>
      </c>
      <c r="H2" s="9">
        <v>2672</v>
      </c>
      <c r="I2" s="43">
        <v>66</v>
      </c>
      <c r="J2" s="9">
        <v>14</v>
      </c>
      <c r="K2" s="71">
        <f>(Table1[[#This Row],[unsub]]/Table1[[#This Row],[unique-sends]])*100</f>
        <v>0.64844835572024084</v>
      </c>
      <c r="L2" s="72">
        <f>Table1[[#This Row],[unique-opens]] / Table1[[#This Row],[unique-sends]] * 100</f>
        <v>123.7610004631774</v>
      </c>
      <c r="M2" s="73">
        <f>Table1[[#This Row],[unique-clicks]] / Table1[[#This Row],[unique-sends]] * 100</f>
        <v>3.0569708198239924</v>
      </c>
      <c r="N2" s="73">
        <f>Table1[[#This Row],[unique-clicks]] / Table1[[#This Row],[unique-opens]] * 100</f>
        <v>2.4700598802395208</v>
      </c>
      <c r="O2" s="73">
        <f>(MIN(Table1[[#This Row],[unique-opens]]/Table1[[#This Row],[unique-sends]],1)*50
 + MIN(Table1[[#This Row],[unique-clicks]]/Table1[[#This Row],[unique-sends]],1)*50)
 * (1 + MIN(Table1[[#This Row],[unique-clicks]]/Table1[[#This Row],[unique-sends]],1))
 - ((Table1[[#This Row],[unsub]]/Table1[[#This Row],[unique-sends]]*100)*2)</f>
        <v>51.806799461349783</v>
      </c>
      <c r="P2" s="11" t="str">
        <f>IF(Table1[[#This Row],[Engagement Score]]&lt;30,"🔴",IF(Table1[[#This Row],[Engagement Score]]&lt;40,"🟡","🟢"))</f>
        <v>🟢</v>
      </c>
      <c r="Q2" s="9">
        <v>0</v>
      </c>
      <c r="R2" s="9">
        <v>0</v>
      </c>
      <c r="S2" s="9">
        <v>0</v>
      </c>
      <c r="T2" s="9" t="s">
        <v>24</v>
      </c>
    </row>
    <row r="3" spans="1:20" ht="32.1" customHeight="1">
      <c r="A3" s="6">
        <v>31</v>
      </c>
      <c r="B3" s="7" t="s">
        <v>25</v>
      </c>
      <c r="C3" s="65">
        <v>45839</v>
      </c>
      <c r="D3" s="79" t="s">
        <v>21</v>
      </c>
      <c r="E3" s="78" t="s">
        <v>26</v>
      </c>
      <c r="F3" s="9" t="s">
        <v>27</v>
      </c>
      <c r="G3" s="10">
        <v>9564</v>
      </c>
      <c r="H3" s="8">
        <v>5260</v>
      </c>
      <c r="I3" s="6">
        <v>50</v>
      </c>
      <c r="J3" s="8">
        <v>3</v>
      </c>
      <c r="K3" s="71">
        <f>(Table1[[#This Row],[unsub]]/Table1[[#This Row],[unique-sends]])*100</f>
        <v>3.1367628607277286E-2</v>
      </c>
      <c r="L3" s="72">
        <f>Table1[[#This Row],[unique-opens]] / Table1[[#This Row],[unique-sends]] * 100</f>
        <v>54.997908824759513</v>
      </c>
      <c r="M3" s="73">
        <f>Table1[[#This Row],[unique-clicks]] / Table1[[#This Row],[unique-sends]] * 100</f>
        <v>0.52279381012128812</v>
      </c>
      <c r="N3" s="73">
        <f>Table1[[#This Row],[unique-clicks]] / Table1[[#This Row],[unique-opens]] * 100</f>
        <v>0.95057034220532322</v>
      </c>
      <c r="O3" s="73">
        <f>(MIN(Table1[[#This Row],[unique-opens]]/Table1[[#This Row],[unique-sends]],1)*50
 + MIN(Table1[[#This Row],[unique-clicks]]/Table1[[#This Row],[unique-sends]],1)*50)
 * (1 + MIN(Table1[[#This Row],[unique-clicks]]/Table1[[#This Row],[unique-sends]],1))
 - ((Table1[[#This Row],[unsub]]/Table1[[#This Row],[unique-sends]]*100)*2)</f>
        <v>27.842745458581344</v>
      </c>
      <c r="P3" s="11" t="str">
        <f>IF(Table1[[#This Row],[Engagement Score]]&lt;30,"🔴",IF(Table1[[#This Row],[Engagement Score]]&lt;40,"🟡","🟢"))</f>
        <v>🔴</v>
      </c>
      <c r="Q3" s="9">
        <v>61.9</v>
      </c>
      <c r="R3" s="9">
        <v>19</v>
      </c>
      <c r="S3" s="9">
        <v>19</v>
      </c>
      <c r="T3" s="12" t="s">
        <v>28</v>
      </c>
    </row>
    <row r="4" spans="1:20" ht="32.1" customHeight="1">
      <c r="A4" s="6">
        <v>31</v>
      </c>
      <c r="B4" s="13" t="s">
        <v>25</v>
      </c>
      <c r="C4" s="65">
        <v>45839</v>
      </c>
      <c r="D4" s="79" t="s">
        <v>29</v>
      </c>
      <c r="E4" s="78" t="s">
        <v>26</v>
      </c>
      <c r="F4" s="9" t="s">
        <v>27</v>
      </c>
      <c r="G4" s="8">
        <v>230</v>
      </c>
      <c r="H4" s="8">
        <v>132</v>
      </c>
      <c r="I4" s="6">
        <v>0</v>
      </c>
      <c r="J4" s="8">
        <v>0</v>
      </c>
      <c r="K4" s="71">
        <f>(Table1[[#This Row],[unsub]]/Table1[[#This Row],[unique-sends]])*100</f>
        <v>0</v>
      </c>
      <c r="L4" s="72">
        <f>Table1[[#This Row],[unique-opens]] / Table1[[#This Row],[unique-sends]] * 100</f>
        <v>57.391304347826086</v>
      </c>
      <c r="M4" s="73">
        <f>Table1[[#This Row],[unique-clicks]] / Table1[[#This Row],[unique-sends]] * 100</f>
        <v>0</v>
      </c>
      <c r="N4" s="73">
        <f>Table1[[#This Row],[unique-clicks]] / Table1[[#This Row],[unique-opens]] * 100</f>
        <v>0</v>
      </c>
      <c r="O4" s="73">
        <f>(MIN(Table1[[#This Row],[unique-opens]]/Table1[[#This Row],[unique-sends]],1)*50
 + MIN(Table1[[#This Row],[unique-clicks]]/Table1[[#This Row],[unique-sends]],1)*50)
 * (1 + MIN(Table1[[#This Row],[unique-clicks]]/Table1[[#This Row],[unique-sends]],1))
 - ((Table1[[#This Row],[unsub]]/Table1[[#This Row],[unique-sends]]*100)*2)</f>
        <v>28.695652173913043</v>
      </c>
      <c r="P4" s="11" t="str">
        <f>IF(Table1[[#This Row],[Engagement Score]]&lt;30,"🔴",IF(Table1[[#This Row],[Engagement Score]]&lt;40,"🟡","🟢"))</f>
        <v>🔴</v>
      </c>
      <c r="Q4" s="9">
        <v>83.3</v>
      </c>
      <c r="R4" s="9">
        <v>16.7</v>
      </c>
      <c r="S4" s="9">
        <v>0</v>
      </c>
      <c r="T4" s="12" t="s">
        <v>30</v>
      </c>
    </row>
    <row r="5" spans="1:20" ht="32.1" customHeight="1">
      <c r="A5" s="6">
        <v>34</v>
      </c>
      <c r="B5" s="13" t="s">
        <v>31</v>
      </c>
      <c r="C5" s="65">
        <v>45839</v>
      </c>
      <c r="D5" s="79" t="s">
        <v>21</v>
      </c>
      <c r="E5" s="78" t="s">
        <v>22</v>
      </c>
      <c r="F5" s="9" t="s">
        <v>23</v>
      </c>
      <c r="G5" s="10">
        <v>4140</v>
      </c>
      <c r="H5" s="8">
        <v>3677</v>
      </c>
      <c r="I5" s="6">
        <v>127</v>
      </c>
      <c r="J5" s="8">
        <v>5</v>
      </c>
      <c r="K5" s="71">
        <f>(Table1[[#This Row],[unsub]]/Table1[[#This Row],[unique-sends]])*100</f>
        <v>0.12077294685990338</v>
      </c>
      <c r="L5" s="72">
        <f>Table1[[#This Row],[unique-opens]] / Table1[[#This Row],[unique-sends]] * 100</f>
        <v>88.816425120772948</v>
      </c>
      <c r="M5" s="73">
        <f>Table1[[#This Row],[unique-clicks]] / Table1[[#This Row],[unique-sends]] * 100</f>
        <v>3.0676328502415457</v>
      </c>
      <c r="N5" s="73">
        <f>Table1[[#This Row],[unique-clicks]] / Table1[[#This Row],[unique-opens]] * 100</f>
        <v>3.4539026380201254</v>
      </c>
      <c r="O5" s="73">
        <f>(MIN(Table1[[#This Row],[unique-opens]]/Table1[[#This Row],[unique-sends]],1)*50
 + MIN(Table1[[#This Row],[unique-clicks]]/Table1[[#This Row],[unique-sends]],1)*50)
 * (1 + MIN(Table1[[#This Row],[unique-clicks]]/Table1[[#This Row],[unique-sends]],1))
 - ((Table1[[#This Row],[unsub]]/Table1[[#This Row],[unique-sends]]*100)*2)</f>
        <v>47.109815865014355</v>
      </c>
      <c r="P5" s="11" t="str">
        <f>IF(Table1[[#This Row],[Engagement Score]]&lt;30,"🔴",IF(Table1[[#This Row],[Engagement Score]]&lt;40,"🟡","🟢"))</f>
        <v>🟢</v>
      </c>
      <c r="Q5" s="9">
        <v>0</v>
      </c>
      <c r="R5" s="9">
        <v>0</v>
      </c>
      <c r="S5" s="9">
        <v>0</v>
      </c>
      <c r="T5" s="14" t="s">
        <v>24</v>
      </c>
    </row>
    <row r="6" spans="1:20" ht="32.1" customHeight="1">
      <c r="A6" s="6">
        <v>35</v>
      </c>
      <c r="B6" s="13" t="s">
        <v>32</v>
      </c>
      <c r="C6" s="65">
        <v>45839</v>
      </c>
      <c r="D6" s="79" t="s">
        <v>21</v>
      </c>
      <c r="E6" s="78" t="s">
        <v>22</v>
      </c>
      <c r="F6" s="9" t="s">
        <v>23</v>
      </c>
      <c r="G6" s="10">
        <v>2408</v>
      </c>
      <c r="H6" s="8">
        <v>1589</v>
      </c>
      <c r="I6" s="6">
        <v>165</v>
      </c>
      <c r="J6" s="8">
        <v>1</v>
      </c>
      <c r="K6" s="71">
        <f>(Table1[[#This Row],[unsub]]/Table1[[#This Row],[unique-sends]])*100</f>
        <v>4.1528239202657809E-2</v>
      </c>
      <c r="L6" s="72">
        <f>Table1[[#This Row],[unique-opens]] / Table1[[#This Row],[unique-sends]] * 100</f>
        <v>65.988372093023244</v>
      </c>
      <c r="M6" s="73">
        <f>Table1[[#This Row],[unique-clicks]] / Table1[[#This Row],[unique-sends]] * 100</f>
        <v>6.852159468438539</v>
      </c>
      <c r="N6" s="73">
        <f>Table1[[#This Row],[unique-clicks]] / Table1[[#This Row],[unique-opens]] * 100</f>
        <v>10.383889238514788</v>
      </c>
      <c r="O6" s="73">
        <f>(MIN(Table1[[#This Row],[unique-opens]]/Table1[[#This Row],[unique-sends]],1)*50
 + MIN(Table1[[#This Row],[unique-clicks]]/Table1[[#This Row],[unique-sends]],1)*50)
 * (1 + MIN(Table1[[#This Row],[unique-clicks]]/Table1[[#This Row],[unique-sends]],1))
 - ((Table1[[#This Row],[unsub]]/Table1[[#This Row],[unique-sends]]*100)*2)</f>
        <v>38.832783992450409</v>
      </c>
      <c r="P6" s="11" t="str">
        <f>IF(Table1[[#This Row],[Engagement Score]]&lt;30,"🔴",IF(Table1[[#This Row],[Engagement Score]]&lt;40,"🟡","🟢"))</f>
        <v>🟡</v>
      </c>
      <c r="Q6" s="9">
        <v>0</v>
      </c>
      <c r="R6" s="9">
        <v>0</v>
      </c>
      <c r="S6" s="9">
        <v>0</v>
      </c>
      <c r="T6" s="14" t="s">
        <v>24</v>
      </c>
    </row>
    <row r="7" spans="1:20" ht="32.1" customHeight="1">
      <c r="A7" s="15">
        <v>36</v>
      </c>
      <c r="B7" s="13" t="s">
        <v>32</v>
      </c>
      <c r="C7" s="65">
        <v>45839</v>
      </c>
      <c r="D7" s="79" t="s">
        <v>29</v>
      </c>
      <c r="E7" s="78" t="s">
        <v>22</v>
      </c>
      <c r="F7" s="9" t="s">
        <v>23</v>
      </c>
      <c r="G7" s="14">
        <v>100</v>
      </c>
      <c r="H7" s="14">
        <v>74</v>
      </c>
      <c r="I7" s="15">
        <v>14</v>
      </c>
      <c r="J7" s="14">
        <v>0</v>
      </c>
      <c r="K7" s="71">
        <f>(Table1[[#This Row],[unsub]]/Table1[[#This Row],[unique-sends]])*100</f>
        <v>0</v>
      </c>
      <c r="L7" s="72">
        <f>Table1[[#This Row],[unique-opens]] / Table1[[#This Row],[unique-sends]] * 100</f>
        <v>74</v>
      </c>
      <c r="M7" s="73">
        <f>Table1[[#This Row],[unique-clicks]] / Table1[[#This Row],[unique-sends]] * 100</f>
        <v>14.000000000000002</v>
      </c>
      <c r="N7" s="73">
        <f>Table1[[#This Row],[unique-clicks]] / Table1[[#This Row],[unique-opens]] * 100</f>
        <v>18.918918918918919</v>
      </c>
      <c r="O7" s="73">
        <f>(MIN(Table1[[#This Row],[unique-opens]]/Table1[[#This Row],[unique-sends]],1)*50
 + MIN(Table1[[#This Row],[unique-clicks]]/Table1[[#This Row],[unique-sends]],1)*50)
 * (1 + MIN(Table1[[#This Row],[unique-clicks]]/Table1[[#This Row],[unique-sends]],1))
 - ((Table1[[#This Row],[unsub]]/Table1[[#This Row],[unique-sends]]*100)*2)</f>
        <v>50.160000000000004</v>
      </c>
      <c r="P7" s="11" t="str">
        <f>IF(Table1[[#This Row],[Engagement Score]]&lt;30,"🔴",IF(Table1[[#This Row],[Engagement Score]]&lt;40,"🟡","🟢"))</f>
        <v>🟢</v>
      </c>
      <c r="Q7" s="9">
        <v>0</v>
      </c>
      <c r="R7" s="9">
        <v>0</v>
      </c>
      <c r="S7" s="9">
        <v>0</v>
      </c>
      <c r="T7" s="14" t="s">
        <v>24</v>
      </c>
    </row>
    <row r="8" spans="1:20" ht="32.1" customHeight="1">
      <c r="A8" s="6">
        <v>38</v>
      </c>
      <c r="B8" s="13" t="s">
        <v>33</v>
      </c>
      <c r="C8" s="65">
        <v>45839</v>
      </c>
      <c r="D8" s="79" t="s">
        <v>21</v>
      </c>
      <c r="E8" s="78" t="s">
        <v>22</v>
      </c>
      <c r="F8" s="9" t="s">
        <v>23</v>
      </c>
      <c r="G8" s="10">
        <v>13901</v>
      </c>
      <c r="H8" s="8">
        <v>8207</v>
      </c>
      <c r="I8" s="6">
        <v>342</v>
      </c>
      <c r="J8" s="8">
        <v>39</v>
      </c>
      <c r="K8" s="71">
        <f>(Table1[[#This Row],[unsub]]/Table1[[#This Row],[unique-sends]])*100</f>
        <v>0.28055535572980361</v>
      </c>
      <c r="L8" s="72">
        <f>Table1[[#This Row],[unique-opens]] / Table1[[#This Row],[unique-sends]] * 100</f>
        <v>59.038918063448676</v>
      </c>
      <c r="M8" s="73">
        <f>Table1[[#This Row],[unique-clicks]] / Table1[[#This Row],[unique-sends]] * 100</f>
        <v>2.4602546579382776</v>
      </c>
      <c r="N8" s="73">
        <f>Table1[[#This Row],[unique-clicks]] / Table1[[#This Row],[unique-opens]] * 100</f>
        <v>4.1671743633483613</v>
      </c>
      <c r="O8" s="73">
        <f>(MIN(Table1[[#This Row],[unique-opens]]/Table1[[#This Row],[unique-sends]],1)*50
 + MIN(Table1[[#This Row],[unique-clicks]]/Table1[[#This Row],[unique-sends]],1)*50)
 * (1 + MIN(Table1[[#This Row],[unique-clicks]]/Table1[[#This Row],[unique-sends]],1))
 - ((Table1[[#This Row],[unsub]]/Table1[[#This Row],[unique-sends]]*100)*2)</f>
        <v>30.944993779969586</v>
      </c>
      <c r="P8" s="11" t="str">
        <f>IF(Table1[[#This Row],[Engagement Score]]&lt;30,"🔴",IF(Table1[[#This Row],[Engagement Score]]&lt;40,"🟡","🟢"))</f>
        <v>🟡</v>
      </c>
      <c r="Q8" s="9">
        <v>0</v>
      </c>
      <c r="R8" s="9">
        <v>0</v>
      </c>
      <c r="S8" s="9">
        <v>0</v>
      </c>
      <c r="T8" s="14" t="s">
        <v>24</v>
      </c>
    </row>
    <row r="9" spans="1:20" ht="32.1" customHeight="1">
      <c r="A9" s="15">
        <v>38</v>
      </c>
      <c r="B9" s="13" t="s">
        <v>34</v>
      </c>
      <c r="C9" s="65">
        <v>45839</v>
      </c>
      <c r="D9" s="79" t="s">
        <v>21</v>
      </c>
      <c r="E9" s="78" t="s">
        <v>22</v>
      </c>
      <c r="F9" s="9" t="s">
        <v>23</v>
      </c>
      <c r="G9" s="14">
        <v>150</v>
      </c>
      <c r="H9" s="14">
        <v>140</v>
      </c>
      <c r="I9" s="15">
        <v>32</v>
      </c>
      <c r="J9" s="14">
        <v>0</v>
      </c>
      <c r="K9" s="71">
        <f>(Table1[[#This Row],[unsub]]/Table1[[#This Row],[unique-sends]])*100</f>
        <v>0</v>
      </c>
      <c r="L9" s="72">
        <f>Table1[[#This Row],[unique-opens]] / Table1[[#This Row],[unique-sends]] * 100</f>
        <v>93.333333333333329</v>
      </c>
      <c r="M9" s="73">
        <f>Table1[[#This Row],[unique-clicks]] / Table1[[#This Row],[unique-sends]] * 100</f>
        <v>21.333333333333336</v>
      </c>
      <c r="N9" s="73">
        <f>Table1[[#This Row],[unique-clicks]] / Table1[[#This Row],[unique-opens]] * 100</f>
        <v>22.857142857142858</v>
      </c>
      <c r="O9" s="73">
        <f>(MIN(Table1[[#This Row],[unique-opens]]/Table1[[#This Row],[unique-sends]],1)*50
 + MIN(Table1[[#This Row],[unique-clicks]]/Table1[[#This Row],[unique-sends]],1)*50)
 * (1 + MIN(Table1[[#This Row],[unique-clicks]]/Table1[[#This Row],[unique-sends]],1))
 - ((Table1[[#This Row],[unsub]]/Table1[[#This Row],[unique-sends]]*100)*2)</f>
        <v>69.564444444444447</v>
      </c>
      <c r="P9" s="11" t="str">
        <f>IF(Table1[[#This Row],[Engagement Score]]&lt;30,"🔴",IF(Table1[[#This Row],[Engagement Score]]&lt;40,"🟡","🟢"))</f>
        <v>🟢</v>
      </c>
      <c r="Q9" s="9">
        <v>0</v>
      </c>
      <c r="R9" s="9">
        <v>0</v>
      </c>
      <c r="S9" s="9">
        <v>0</v>
      </c>
      <c r="T9" s="14" t="s">
        <v>24</v>
      </c>
    </row>
    <row r="10" spans="1:20" ht="32.1" customHeight="1">
      <c r="A10" s="6">
        <v>39</v>
      </c>
      <c r="B10" s="13" t="s">
        <v>33</v>
      </c>
      <c r="C10" s="65">
        <v>45839</v>
      </c>
      <c r="D10" s="79" t="s">
        <v>29</v>
      </c>
      <c r="E10" s="78" t="s">
        <v>22</v>
      </c>
      <c r="F10" s="9" t="s">
        <v>23</v>
      </c>
      <c r="G10" s="8">
        <v>605</v>
      </c>
      <c r="H10" s="8">
        <v>277</v>
      </c>
      <c r="I10" s="6">
        <v>13</v>
      </c>
      <c r="J10" s="8">
        <v>2</v>
      </c>
      <c r="K10" s="71">
        <f>(Table1[[#This Row],[unsub]]/Table1[[#This Row],[unique-sends]])*100</f>
        <v>0.33057851239669422</v>
      </c>
      <c r="L10" s="72">
        <f>Table1[[#This Row],[unique-opens]] / Table1[[#This Row],[unique-sends]] * 100</f>
        <v>45.785123966942152</v>
      </c>
      <c r="M10" s="73">
        <f>Table1[[#This Row],[unique-clicks]] / Table1[[#This Row],[unique-sends]] * 100</f>
        <v>2.1487603305785123</v>
      </c>
      <c r="N10" s="73">
        <f>Table1[[#This Row],[unique-clicks]] / Table1[[#This Row],[unique-opens]] * 100</f>
        <v>4.6931407942238268</v>
      </c>
      <c r="O10" s="73">
        <f>(MIN(Table1[[#This Row],[unique-opens]]/Table1[[#This Row],[unique-sends]],1)*50
 + MIN(Table1[[#This Row],[unique-clicks]]/Table1[[#This Row],[unique-sends]],1)*50)
 * (1 + MIN(Table1[[#This Row],[unique-clicks]]/Table1[[#This Row],[unique-sends]],1))
 - ((Table1[[#This Row],[unsub]]/Table1[[#This Row],[unique-sends]]*100)*2)</f>
        <v>23.820777269312206</v>
      </c>
      <c r="P10" s="11" t="str">
        <f>IF(Table1[[#This Row],[Engagement Score]]&lt;30,"🔴",IF(Table1[[#This Row],[Engagement Score]]&lt;40,"🟡","🟢"))</f>
        <v>🔴</v>
      </c>
      <c r="Q10" s="9">
        <v>0</v>
      </c>
      <c r="R10" s="9">
        <v>0</v>
      </c>
      <c r="S10" s="9">
        <v>0</v>
      </c>
      <c r="T10" s="14" t="s">
        <v>24</v>
      </c>
    </row>
    <row r="11" spans="1:20" ht="32.1" customHeight="1">
      <c r="A11" s="6">
        <v>40</v>
      </c>
      <c r="B11" s="13" t="s">
        <v>35</v>
      </c>
      <c r="C11" s="65">
        <v>45839</v>
      </c>
      <c r="D11" s="79" t="s">
        <v>21</v>
      </c>
      <c r="E11" s="79" t="s">
        <v>22</v>
      </c>
      <c r="F11" s="9" t="s">
        <v>23</v>
      </c>
      <c r="G11" s="8">
        <v>860</v>
      </c>
      <c r="H11" s="8">
        <v>576</v>
      </c>
      <c r="I11" s="6">
        <v>41</v>
      </c>
      <c r="J11" s="8">
        <v>2</v>
      </c>
      <c r="K11" s="71">
        <f>(Table1[[#This Row],[unsub]]/Table1[[#This Row],[unique-sends]])*100</f>
        <v>0.23255813953488372</v>
      </c>
      <c r="L11" s="72">
        <f>Table1[[#This Row],[unique-opens]] / Table1[[#This Row],[unique-sends]] * 100</f>
        <v>66.976744186046517</v>
      </c>
      <c r="M11" s="73">
        <f>Table1[[#This Row],[unique-clicks]] / Table1[[#This Row],[unique-sends]] * 100</f>
        <v>4.7674418604651168</v>
      </c>
      <c r="N11" s="73">
        <f>Table1[[#This Row],[unique-clicks]] / Table1[[#This Row],[unique-opens]] * 100</f>
        <v>7.1180555555555554</v>
      </c>
      <c r="O11" s="73">
        <f>(MIN(Table1[[#This Row],[unique-opens]]/Table1[[#This Row],[unique-sends]],1)*50
 + MIN(Table1[[#This Row],[unique-clicks]]/Table1[[#This Row],[unique-sends]],1)*50)
 * (1 + MIN(Table1[[#This Row],[unique-clicks]]/Table1[[#This Row],[unique-sends]],1))
 - ((Table1[[#This Row],[unsub]]/Table1[[#This Row],[unique-sends]]*100)*2)</f>
        <v>37.117157923201731</v>
      </c>
      <c r="P11" s="11" t="str">
        <f>IF(Table1[[#This Row],[Engagement Score]]&lt;30,"🔴",IF(Table1[[#This Row],[Engagement Score]]&lt;40,"🟡","🟢"))</f>
        <v>🟡</v>
      </c>
      <c r="Q11" s="9">
        <v>0</v>
      </c>
      <c r="R11" s="9">
        <v>0</v>
      </c>
      <c r="S11" s="9">
        <v>0</v>
      </c>
      <c r="T11" s="14" t="s">
        <v>24</v>
      </c>
    </row>
    <row r="12" spans="1:20" ht="32.1" customHeight="1">
      <c r="A12" s="6">
        <v>41</v>
      </c>
      <c r="B12" s="13" t="s">
        <v>36</v>
      </c>
      <c r="C12" s="65">
        <v>45839</v>
      </c>
      <c r="D12" s="79" t="s">
        <v>21</v>
      </c>
      <c r="E12" s="79" t="s">
        <v>22</v>
      </c>
      <c r="F12" s="9" t="s">
        <v>23</v>
      </c>
      <c r="G12" s="8">
        <v>270</v>
      </c>
      <c r="H12" s="8">
        <v>160</v>
      </c>
      <c r="I12" s="6">
        <v>11</v>
      </c>
      <c r="J12" s="8">
        <v>0</v>
      </c>
      <c r="K12" s="71">
        <f>(Table1[[#This Row],[unsub]]/Table1[[#This Row],[unique-sends]])*100</f>
        <v>0</v>
      </c>
      <c r="L12" s="72">
        <f>Table1[[#This Row],[unique-opens]] / Table1[[#This Row],[unique-sends]] * 100</f>
        <v>59.259259259259252</v>
      </c>
      <c r="M12" s="73">
        <f>Table1[[#This Row],[unique-clicks]] / Table1[[#This Row],[unique-sends]] * 100</f>
        <v>4.0740740740740744</v>
      </c>
      <c r="N12" s="73">
        <f>Table1[[#This Row],[unique-clicks]] / Table1[[#This Row],[unique-opens]] * 100</f>
        <v>6.8750000000000009</v>
      </c>
      <c r="O12" s="73">
        <f>(MIN(Table1[[#This Row],[unique-opens]]/Table1[[#This Row],[unique-sends]],1)*50
 + MIN(Table1[[#This Row],[unique-clicks]]/Table1[[#This Row],[unique-sends]],1)*50)
 * (1 + MIN(Table1[[#This Row],[unique-clicks]]/Table1[[#This Row],[unique-sends]],1))
 - ((Table1[[#This Row],[unsub]]/Table1[[#This Row],[unique-sends]]*100)*2)</f>
        <v>32.956790123456791</v>
      </c>
      <c r="P12" s="11" t="str">
        <f>IF(Table1[[#This Row],[Engagement Score]]&lt;30,"🔴",IF(Table1[[#This Row],[Engagement Score]]&lt;40,"🟡","🟢"))</f>
        <v>🟡</v>
      </c>
      <c r="Q12" s="8">
        <v>0</v>
      </c>
      <c r="R12" s="8">
        <v>0</v>
      </c>
      <c r="S12" s="8">
        <v>0</v>
      </c>
      <c r="T12" s="14" t="s">
        <v>24</v>
      </c>
    </row>
    <row r="13" spans="1:20" ht="32.1" customHeight="1">
      <c r="A13" s="15">
        <v>42</v>
      </c>
      <c r="B13" s="13" t="s">
        <v>37</v>
      </c>
      <c r="C13" s="65">
        <v>45839</v>
      </c>
      <c r="D13" s="80" t="s">
        <v>21</v>
      </c>
      <c r="E13" s="79" t="s">
        <v>22</v>
      </c>
      <c r="F13" s="9" t="s">
        <v>23</v>
      </c>
      <c r="G13" s="16">
        <v>1812</v>
      </c>
      <c r="H13" s="14">
        <v>1334</v>
      </c>
      <c r="I13" s="15">
        <v>62</v>
      </c>
      <c r="J13" s="14">
        <v>3</v>
      </c>
      <c r="K13" s="71">
        <f>(Table1[[#This Row],[unsub]]/Table1[[#This Row],[unique-sends]])*100</f>
        <v>0.16556291390728478</v>
      </c>
      <c r="L13" s="72">
        <f>Table1[[#This Row],[unique-opens]] / Table1[[#This Row],[unique-sends]] * 100</f>
        <v>73.620309050772619</v>
      </c>
      <c r="M13" s="73">
        <f>Table1[[#This Row],[unique-clicks]] / Table1[[#This Row],[unique-sends]] * 100</f>
        <v>3.4216335540838854</v>
      </c>
      <c r="N13" s="73">
        <f>Table1[[#This Row],[unique-clicks]] / Table1[[#This Row],[unique-opens]] * 100</f>
        <v>4.6476761619190405</v>
      </c>
      <c r="O13" s="73">
        <f>(MIN(Table1[[#This Row],[unique-opens]]/Table1[[#This Row],[unique-sends]],1)*50
 + MIN(Table1[[#This Row],[unique-clicks]]/Table1[[#This Row],[unique-sends]],1)*50)
 * (1 + MIN(Table1[[#This Row],[unique-clicks]]/Table1[[#This Row],[unique-sends]],1))
 - ((Table1[[#This Row],[unsub]]/Table1[[#This Row],[unique-sends]]*100)*2)</f>
        <v>39.507891954056596</v>
      </c>
      <c r="P13" s="11" t="str">
        <f>IF(Table1[[#This Row],[Engagement Score]]&lt;30,"🔴",IF(Table1[[#This Row],[Engagement Score]]&lt;40,"🟡","🟢"))</f>
        <v>🟡</v>
      </c>
      <c r="Q13" s="14">
        <v>0</v>
      </c>
      <c r="R13" s="14">
        <v>0</v>
      </c>
      <c r="S13" s="14">
        <v>0</v>
      </c>
      <c r="T13" s="14" t="s">
        <v>24</v>
      </c>
    </row>
    <row r="14" spans="1:20" ht="32.1" customHeight="1">
      <c r="A14" s="15">
        <v>43</v>
      </c>
      <c r="B14" s="13" t="s">
        <v>38</v>
      </c>
      <c r="C14" s="65">
        <v>45839</v>
      </c>
      <c r="D14" s="80" t="s">
        <v>21</v>
      </c>
      <c r="E14" s="79" t="s">
        <v>22</v>
      </c>
      <c r="F14" s="9" t="s">
        <v>23</v>
      </c>
      <c r="G14" s="14">
        <v>694</v>
      </c>
      <c r="H14" s="14">
        <v>435</v>
      </c>
      <c r="I14" s="15">
        <v>53</v>
      </c>
      <c r="J14" s="14">
        <v>0</v>
      </c>
      <c r="K14" s="71">
        <f>(Table1[[#This Row],[unsub]]/Table1[[#This Row],[unique-sends]])*100</f>
        <v>0</v>
      </c>
      <c r="L14" s="72">
        <f>Table1[[#This Row],[unique-opens]] / Table1[[#This Row],[unique-sends]] * 100</f>
        <v>62.680115273775215</v>
      </c>
      <c r="M14" s="73">
        <f>Table1[[#This Row],[unique-clicks]] / Table1[[#This Row],[unique-sends]] * 100</f>
        <v>7.6368876080691637</v>
      </c>
      <c r="N14" s="73">
        <f>Table1[[#This Row],[unique-clicks]] / Table1[[#This Row],[unique-opens]] * 100</f>
        <v>12.183908045977011</v>
      </c>
      <c r="O14" s="73">
        <f>(MIN(Table1[[#This Row],[unique-opens]]/Table1[[#This Row],[unique-sends]],1)*50
 + MIN(Table1[[#This Row],[unique-clicks]]/Table1[[#This Row],[unique-sends]],1)*50)
 * (1 + MIN(Table1[[#This Row],[unique-clicks]]/Table1[[#This Row],[unique-sends]],1))
 - ((Table1[[#This Row],[unsub]]/Table1[[#This Row],[unique-sends]]*100)*2)</f>
        <v>37.843516680646786</v>
      </c>
      <c r="P14" s="11" t="str">
        <f>IF(Table1[[#This Row],[Engagement Score]]&lt;30,"🔴",IF(Table1[[#This Row],[Engagement Score]]&lt;40,"🟡","🟢"))</f>
        <v>🟡</v>
      </c>
      <c r="Q14" s="14">
        <v>0</v>
      </c>
      <c r="R14" s="14">
        <v>0</v>
      </c>
      <c r="S14" s="14">
        <v>0</v>
      </c>
      <c r="T14" s="14" t="s">
        <v>24</v>
      </c>
    </row>
    <row r="15" spans="1:20" ht="32.1" customHeight="1">
      <c r="A15" s="6">
        <v>44</v>
      </c>
      <c r="B15" s="13" t="s">
        <v>39</v>
      </c>
      <c r="C15" s="65">
        <v>45839</v>
      </c>
      <c r="D15" s="79" t="s">
        <v>21</v>
      </c>
      <c r="E15" s="79" t="s">
        <v>22</v>
      </c>
      <c r="F15" s="9" t="s">
        <v>23</v>
      </c>
      <c r="G15" s="8">
        <v>77</v>
      </c>
      <c r="H15" s="8">
        <v>61</v>
      </c>
      <c r="I15" s="6">
        <v>7</v>
      </c>
      <c r="J15" s="8">
        <v>0</v>
      </c>
      <c r="K15" s="71">
        <f>(Table1[[#This Row],[unsub]]/Table1[[#This Row],[unique-sends]])*100</f>
        <v>0</v>
      </c>
      <c r="L15" s="72">
        <f>Table1[[#This Row],[unique-opens]] / Table1[[#This Row],[unique-sends]] * 100</f>
        <v>79.220779220779221</v>
      </c>
      <c r="M15" s="73">
        <f>Table1[[#This Row],[unique-clicks]] / Table1[[#This Row],[unique-sends]] * 100</f>
        <v>9.0909090909090917</v>
      </c>
      <c r="N15" s="73">
        <f>Table1[[#This Row],[unique-clicks]] / Table1[[#This Row],[unique-opens]] * 100</f>
        <v>11.475409836065573</v>
      </c>
      <c r="O15" s="73">
        <f>(MIN(Table1[[#This Row],[unique-opens]]/Table1[[#This Row],[unique-sends]],1)*50
 + MIN(Table1[[#This Row],[unique-clicks]]/Table1[[#This Row],[unique-sends]],1)*50)
 * (1 + MIN(Table1[[#This Row],[unique-clicks]]/Table1[[#This Row],[unique-sends]],1))
 - ((Table1[[#This Row],[unsub]]/Table1[[#This Row],[unique-sends]]*100)*2)</f>
        <v>48.170011806375442</v>
      </c>
      <c r="P15" s="11" t="str">
        <f>IF(Table1[[#This Row],[Engagement Score]]&lt;30,"🔴",IF(Table1[[#This Row],[Engagement Score]]&lt;40,"🟡","🟢"))</f>
        <v>🟢</v>
      </c>
      <c r="Q15" s="9">
        <v>0</v>
      </c>
      <c r="R15" s="9">
        <v>0</v>
      </c>
      <c r="S15" s="9">
        <v>0</v>
      </c>
      <c r="T15" s="14" t="s">
        <v>24</v>
      </c>
    </row>
    <row r="16" spans="1:20" ht="32.1" customHeight="1">
      <c r="A16" s="6">
        <v>96</v>
      </c>
      <c r="B16" s="13" t="s">
        <v>40</v>
      </c>
      <c r="C16" s="65">
        <v>45839</v>
      </c>
      <c r="D16" s="79" t="s">
        <v>29</v>
      </c>
      <c r="E16" s="79" t="s">
        <v>22</v>
      </c>
      <c r="F16" s="9" t="s">
        <v>23</v>
      </c>
      <c r="G16" s="8">
        <v>162</v>
      </c>
      <c r="H16" s="8">
        <v>120</v>
      </c>
      <c r="I16" s="6">
        <v>10</v>
      </c>
      <c r="J16" s="8">
        <v>0</v>
      </c>
      <c r="K16" s="71">
        <f>(Table1[[#This Row],[unsub]]/Table1[[#This Row],[unique-sends]])*100</f>
        <v>0</v>
      </c>
      <c r="L16" s="72">
        <f>Table1[[#This Row],[unique-opens]] / Table1[[#This Row],[unique-sends]] * 100</f>
        <v>74.074074074074076</v>
      </c>
      <c r="M16" s="73">
        <f>Table1[[#This Row],[unique-clicks]] / Table1[[#This Row],[unique-sends]] * 100</f>
        <v>6.1728395061728394</v>
      </c>
      <c r="N16" s="73">
        <f>Table1[[#This Row],[unique-clicks]] / Table1[[#This Row],[unique-opens]] * 100</f>
        <v>8.3333333333333321</v>
      </c>
      <c r="O16" s="73">
        <f>(MIN(Table1[[#This Row],[unique-opens]]/Table1[[#This Row],[unique-sends]],1)*50
 + MIN(Table1[[#This Row],[unique-clicks]]/Table1[[#This Row],[unique-sends]],1)*50)
 * (1 + MIN(Table1[[#This Row],[unique-clicks]]/Table1[[#This Row],[unique-sends]],1))
 - ((Table1[[#This Row],[unsub]]/Table1[[#This Row],[unique-sends]]*100)*2)</f>
        <v>42.600213382106389</v>
      </c>
      <c r="P16" s="11" t="str">
        <f>IF(Table1[[#This Row],[Engagement Score]]&lt;30,"🔴",IF(Table1[[#This Row],[Engagement Score]]&lt;40,"🟡","🟢"))</f>
        <v>🟢</v>
      </c>
      <c r="Q16" s="9">
        <v>0</v>
      </c>
      <c r="R16" s="9">
        <v>0</v>
      </c>
      <c r="S16" s="9">
        <v>0</v>
      </c>
      <c r="T16" s="14" t="s">
        <v>24</v>
      </c>
    </row>
    <row r="17" spans="1:20" ht="32.1" customHeight="1">
      <c r="A17" s="6">
        <v>45</v>
      </c>
      <c r="B17" s="13" t="s">
        <v>41</v>
      </c>
      <c r="C17" s="65">
        <v>45839</v>
      </c>
      <c r="D17" s="79" t="s">
        <v>29</v>
      </c>
      <c r="E17" s="79" t="s">
        <v>22</v>
      </c>
      <c r="F17" s="9" t="s">
        <v>23</v>
      </c>
      <c r="G17" s="14">
        <v>46</v>
      </c>
      <c r="H17" s="14">
        <v>41</v>
      </c>
      <c r="I17" s="15">
        <v>4</v>
      </c>
      <c r="J17" s="8">
        <v>0</v>
      </c>
      <c r="K17" s="71">
        <f>(Table1[[#This Row],[unsub]]/Table1[[#This Row],[unique-sends]])*100</f>
        <v>0</v>
      </c>
      <c r="L17" s="72">
        <f>Table1[[#This Row],[unique-opens]] / Table1[[#This Row],[unique-sends]] * 100</f>
        <v>89.130434782608688</v>
      </c>
      <c r="M17" s="73">
        <f>Table1[[#This Row],[unique-clicks]] / Table1[[#This Row],[unique-sends]] * 100</f>
        <v>8.695652173913043</v>
      </c>
      <c r="N17" s="73">
        <f>Table1[[#This Row],[unique-clicks]] / Table1[[#This Row],[unique-opens]] * 100</f>
        <v>9.7560975609756095</v>
      </c>
      <c r="O17" s="73">
        <f>(MIN(Table1[[#This Row],[unique-opens]]/Table1[[#This Row],[unique-sends]],1)*50
 + MIN(Table1[[#This Row],[unique-clicks]]/Table1[[#This Row],[unique-sends]],1)*50)
 * (1 + MIN(Table1[[#This Row],[unique-clicks]]/Table1[[#This Row],[unique-sends]],1))
 - ((Table1[[#This Row],[unsub]]/Table1[[#This Row],[unique-sends]]*100)*2)</f>
        <v>53.166351606805286</v>
      </c>
      <c r="P17" s="11" t="str">
        <f>IF(Table1[[#This Row],[Engagement Score]]&lt;30,"🔴",IF(Table1[[#This Row],[Engagement Score]]&lt;40,"🟡","🟢"))</f>
        <v>🟢</v>
      </c>
      <c r="Q17" s="8">
        <v>0</v>
      </c>
      <c r="R17" s="8">
        <v>0</v>
      </c>
      <c r="S17" s="8">
        <v>0</v>
      </c>
      <c r="T17" s="14" t="s">
        <v>24</v>
      </c>
    </row>
    <row r="18" spans="1:20" ht="32.1" customHeight="1">
      <c r="A18" s="15">
        <v>46</v>
      </c>
      <c r="B18" s="13" t="s">
        <v>40</v>
      </c>
      <c r="C18" s="65">
        <v>45839</v>
      </c>
      <c r="D18" s="80" t="s">
        <v>21</v>
      </c>
      <c r="E18" s="79" t="s">
        <v>22</v>
      </c>
      <c r="F18" s="9" t="s">
        <v>23</v>
      </c>
      <c r="G18" s="10">
        <v>3329</v>
      </c>
      <c r="H18" s="8">
        <v>2640</v>
      </c>
      <c r="I18" s="6">
        <v>374</v>
      </c>
      <c r="J18" s="14">
        <v>4</v>
      </c>
      <c r="K18" s="71">
        <f>(Table1[[#This Row],[unsub]]/Table1[[#This Row],[unique-sends]])*100</f>
        <v>0.12015620306398318</v>
      </c>
      <c r="L18" s="72">
        <f>Table1[[#This Row],[unique-opens]] / Table1[[#This Row],[unique-sends]] * 100</f>
        <v>79.30309402222889</v>
      </c>
      <c r="M18" s="73">
        <f>Table1[[#This Row],[unique-clicks]] / Table1[[#This Row],[unique-sends]] * 100</f>
        <v>11.234604986482427</v>
      </c>
      <c r="N18" s="73">
        <f>Table1[[#This Row],[unique-clicks]] / Table1[[#This Row],[unique-opens]] * 100</f>
        <v>14.166666666666666</v>
      </c>
      <c r="O18" s="73">
        <f>(MIN(Table1[[#This Row],[unique-opens]]/Table1[[#This Row],[unique-sends]],1)*50
 + MIN(Table1[[#This Row],[unique-clicks]]/Table1[[#This Row],[unique-sends]],1)*50)
 * (1 + MIN(Table1[[#This Row],[unique-clicks]]/Table1[[#This Row],[unique-sends]],1))
 - ((Table1[[#This Row],[unsub]]/Table1[[#This Row],[unique-sends]]*100)*2)</f>
        <v>50.114313521967254</v>
      </c>
      <c r="P18" s="11" t="str">
        <f>IF(Table1[[#This Row],[Engagement Score]]&lt;30,"🔴",IF(Table1[[#This Row],[Engagement Score]]&lt;40,"🟡","🟢"))</f>
        <v>🟢</v>
      </c>
      <c r="Q18" s="9">
        <v>92</v>
      </c>
      <c r="R18" s="9">
        <v>5.3</v>
      </c>
      <c r="S18" s="9">
        <v>2.7</v>
      </c>
      <c r="T18" s="12" t="s">
        <v>42</v>
      </c>
    </row>
    <row r="19" spans="1:20" ht="32.1" customHeight="1">
      <c r="A19" s="15">
        <v>46</v>
      </c>
      <c r="B19" s="13" t="s">
        <v>41</v>
      </c>
      <c r="C19" s="65">
        <v>45839</v>
      </c>
      <c r="D19" s="80" t="s">
        <v>21</v>
      </c>
      <c r="E19" s="79" t="s">
        <v>22</v>
      </c>
      <c r="F19" s="9" t="s">
        <v>23</v>
      </c>
      <c r="G19" s="16">
        <v>1336</v>
      </c>
      <c r="H19" s="14">
        <v>986</v>
      </c>
      <c r="I19" s="15">
        <v>164</v>
      </c>
      <c r="J19" s="14">
        <v>0</v>
      </c>
      <c r="K19" s="71">
        <f>(Table1[[#This Row],[unsub]]/Table1[[#This Row],[unique-sends]])*100</f>
        <v>0</v>
      </c>
      <c r="L19" s="72">
        <f>Table1[[#This Row],[unique-opens]] / Table1[[#This Row],[unique-sends]] * 100</f>
        <v>73.802395209580837</v>
      </c>
      <c r="M19" s="73">
        <f>Table1[[#This Row],[unique-clicks]] / Table1[[#This Row],[unique-sends]] * 100</f>
        <v>12.275449101796406</v>
      </c>
      <c r="N19" s="73">
        <f>Table1[[#This Row],[unique-clicks]] / Table1[[#This Row],[unique-opens]] * 100</f>
        <v>16.632860040567952</v>
      </c>
      <c r="O19" s="73">
        <f>(MIN(Table1[[#This Row],[unique-opens]]/Table1[[#This Row],[unique-sends]],1)*50
 + MIN(Table1[[#This Row],[unique-clicks]]/Table1[[#This Row],[unique-sends]],1)*50)
 * (1 + MIN(Table1[[#This Row],[unique-clicks]]/Table1[[#This Row],[unique-sends]],1))
 - ((Table1[[#This Row],[unsub]]/Table1[[#This Row],[unique-sends]]*100)*2)</f>
        <v>48.322143138871958</v>
      </c>
      <c r="P19" s="11" t="str">
        <f>IF(Table1[[#This Row],[Engagement Score]]&lt;30,"🔴",IF(Table1[[#This Row],[Engagement Score]]&lt;40,"🟡","🟢"))</f>
        <v>🟢</v>
      </c>
      <c r="Q19" s="9">
        <v>0</v>
      </c>
      <c r="R19" s="9">
        <v>0</v>
      </c>
      <c r="S19" s="9">
        <v>0</v>
      </c>
      <c r="T19" s="14" t="s">
        <v>24</v>
      </c>
    </row>
    <row r="20" spans="1:20" ht="32.1" customHeight="1">
      <c r="A20" s="15">
        <v>47</v>
      </c>
      <c r="B20" s="13" t="s">
        <v>43</v>
      </c>
      <c r="C20" s="65">
        <v>45839</v>
      </c>
      <c r="D20" s="79" t="s">
        <v>21</v>
      </c>
      <c r="E20" s="79" t="s">
        <v>22</v>
      </c>
      <c r="F20" s="9" t="s">
        <v>23</v>
      </c>
      <c r="G20" s="10">
        <v>35817</v>
      </c>
      <c r="H20" s="8">
        <v>21147</v>
      </c>
      <c r="I20" s="6">
        <v>2385</v>
      </c>
      <c r="J20" s="8">
        <v>88</v>
      </c>
      <c r="K20" s="71">
        <f>(Table1[[#This Row],[unsub]]/Table1[[#This Row],[unique-sends]])*100</f>
        <v>0.24569338582237488</v>
      </c>
      <c r="L20" s="72">
        <f>Table1[[#This Row],[unique-opens]] / Table1[[#This Row],[unique-sends]] * 100</f>
        <v>59.041795795292742</v>
      </c>
      <c r="M20" s="73">
        <f>Table1[[#This Row],[unique-clicks]] / Table1[[#This Row],[unique-sends]] * 100</f>
        <v>6.6588491498450457</v>
      </c>
      <c r="N20" s="73">
        <f>Table1[[#This Row],[unique-clicks]] / Table1[[#This Row],[unique-opens]] * 100</f>
        <v>11.278195488721805</v>
      </c>
      <c r="O20" s="73">
        <f>(MIN(Table1[[#This Row],[unique-opens]]/Table1[[#This Row],[unique-sends]],1)*50
 + MIN(Table1[[#This Row],[unique-clicks]]/Table1[[#This Row],[unique-sends]],1)*50)
 * (1 + MIN(Table1[[#This Row],[unique-clicks]]/Table1[[#This Row],[unique-sends]],1))
 - ((Table1[[#This Row],[unsub]]/Table1[[#This Row],[unique-sends]]*100)*2)</f>
        <v>34.546389119610154</v>
      </c>
      <c r="P20" s="11" t="str">
        <f>IF(Table1[[#This Row],[Engagement Score]]&lt;30,"🔴",IF(Table1[[#This Row],[Engagement Score]]&lt;40,"🟡","🟢"))</f>
        <v>🟡</v>
      </c>
      <c r="Q20" s="9">
        <v>0</v>
      </c>
      <c r="R20" s="9">
        <v>0</v>
      </c>
      <c r="S20" s="9">
        <v>0</v>
      </c>
      <c r="T20" s="14" t="s">
        <v>24</v>
      </c>
    </row>
    <row r="21" spans="1:20" ht="32.1" customHeight="1">
      <c r="A21" s="15">
        <v>48</v>
      </c>
      <c r="B21" s="13" t="s">
        <v>43</v>
      </c>
      <c r="C21" s="65">
        <v>45839</v>
      </c>
      <c r="D21" s="79" t="s">
        <v>29</v>
      </c>
      <c r="E21" s="79" t="s">
        <v>22</v>
      </c>
      <c r="F21" s="9" t="s">
        <v>23</v>
      </c>
      <c r="G21" s="10">
        <v>1790</v>
      </c>
      <c r="H21" s="8">
        <v>1061</v>
      </c>
      <c r="I21" s="6">
        <v>119</v>
      </c>
      <c r="J21" s="8">
        <v>4</v>
      </c>
      <c r="K21" s="71">
        <f>(Table1[[#This Row],[unsub]]/Table1[[#This Row],[unique-sends]])*100</f>
        <v>0.22346368715083798</v>
      </c>
      <c r="L21" s="72">
        <f>Table1[[#This Row],[unique-opens]] / Table1[[#This Row],[unique-sends]] * 100</f>
        <v>59.273743016759774</v>
      </c>
      <c r="M21" s="73">
        <f>Table1[[#This Row],[unique-clicks]] / Table1[[#This Row],[unique-sends]] * 100</f>
        <v>6.6480446927374297</v>
      </c>
      <c r="N21" s="73">
        <f>Table1[[#This Row],[unique-clicks]] / Table1[[#This Row],[unique-opens]] * 100</f>
        <v>11.215834118755891</v>
      </c>
      <c r="O21" s="73">
        <f>(MIN(Table1[[#This Row],[unique-opens]]/Table1[[#This Row],[unique-sends]],1)*50
 + MIN(Table1[[#This Row],[unique-clicks]]/Table1[[#This Row],[unique-sends]],1)*50)
 * (1 + MIN(Table1[[#This Row],[unique-clicks]]/Table1[[#This Row],[unique-sends]],1))
 - ((Table1[[#This Row],[unsub]]/Table1[[#This Row],[unique-sends]]*100)*2)</f>
        <v>34.705221435036364</v>
      </c>
      <c r="P21" s="11" t="str">
        <f>IF(Table1[[#This Row],[Engagement Score]]&lt;30,"🔴",IF(Table1[[#This Row],[Engagement Score]]&lt;40,"🟡","🟢"))</f>
        <v>🟡</v>
      </c>
      <c r="Q21" s="9">
        <v>0</v>
      </c>
      <c r="R21" s="9">
        <v>0</v>
      </c>
      <c r="S21" s="9">
        <v>0</v>
      </c>
      <c r="T21" s="14" t="s">
        <v>24</v>
      </c>
    </row>
    <row r="22" spans="1:20" ht="32.1" customHeight="1">
      <c r="A22" s="6">
        <v>49</v>
      </c>
      <c r="B22" s="13" t="s">
        <v>44</v>
      </c>
      <c r="C22" s="65">
        <v>45839</v>
      </c>
      <c r="D22" s="79" t="s">
        <v>21</v>
      </c>
      <c r="E22" s="79" t="s">
        <v>22</v>
      </c>
      <c r="F22" s="9" t="s">
        <v>23</v>
      </c>
      <c r="G22" s="10">
        <v>35553</v>
      </c>
      <c r="H22" s="8">
        <v>20109</v>
      </c>
      <c r="I22" s="6">
        <v>1196</v>
      </c>
      <c r="J22" s="8">
        <v>57</v>
      </c>
      <c r="K22" s="71">
        <f>(Table1[[#This Row],[unsub]]/Table1[[#This Row],[unique-sends]])*100</f>
        <v>0.16032402328917389</v>
      </c>
      <c r="L22" s="72">
        <f>Table1[[#This Row],[unique-opens]] / Table1[[#This Row],[unique-sends]] * 100</f>
        <v>56.560627795122777</v>
      </c>
      <c r="M22" s="73">
        <f>Table1[[#This Row],[unique-clicks]] / Table1[[#This Row],[unique-sends]] * 100</f>
        <v>3.363991786909684</v>
      </c>
      <c r="N22" s="73">
        <f>Table1[[#This Row],[unique-clicks]] / Table1[[#This Row],[unique-opens]] * 100</f>
        <v>5.9475856581630113</v>
      </c>
      <c r="O22" s="73">
        <f>(MIN(Table1[[#This Row],[unique-opens]]/Table1[[#This Row],[unique-sends]],1)*50
 + MIN(Table1[[#This Row],[unique-clicks]]/Table1[[#This Row],[unique-sends]],1)*50)
 * (1 + MIN(Table1[[#This Row],[unique-clicks]]/Table1[[#This Row],[unique-sends]],1))
 - ((Table1[[#This Row],[unsub]]/Table1[[#This Row],[unique-sends]]*100)*2)</f>
        <v>30.649591384976109</v>
      </c>
      <c r="P22" s="11" t="str">
        <f>IF(Table1[[#This Row],[Engagement Score]]&lt;30,"🔴",IF(Table1[[#This Row],[Engagement Score]]&lt;40,"🟡","🟢"))</f>
        <v>🟡</v>
      </c>
      <c r="Q22" s="9">
        <v>0</v>
      </c>
      <c r="R22" s="9">
        <v>0</v>
      </c>
      <c r="S22" s="9">
        <v>0</v>
      </c>
      <c r="T22" s="14" t="s">
        <v>24</v>
      </c>
    </row>
    <row r="23" spans="1:20" ht="32.1" customHeight="1">
      <c r="A23" s="6">
        <v>50</v>
      </c>
      <c r="B23" s="17" t="s">
        <v>44</v>
      </c>
      <c r="C23" s="65">
        <v>45839</v>
      </c>
      <c r="D23" s="79" t="s">
        <v>29</v>
      </c>
      <c r="E23" s="79" t="s">
        <v>22</v>
      </c>
      <c r="F23" s="9" t="s">
        <v>23</v>
      </c>
      <c r="G23" s="10">
        <v>1881</v>
      </c>
      <c r="H23" s="8">
        <v>1096</v>
      </c>
      <c r="I23" s="6">
        <v>84</v>
      </c>
      <c r="J23" s="8">
        <v>4</v>
      </c>
      <c r="K23" s="71">
        <f>(Table1[[#This Row],[unsub]]/Table1[[#This Row],[unique-sends]])*100</f>
        <v>0.21265284423179162</v>
      </c>
      <c r="L23" s="72">
        <f>Table1[[#This Row],[unique-opens]] / Table1[[#This Row],[unique-sends]] * 100</f>
        <v>58.266879319510899</v>
      </c>
      <c r="M23" s="73">
        <f>Table1[[#This Row],[unique-clicks]] / Table1[[#This Row],[unique-sends]] * 100</f>
        <v>4.4657097288676235</v>
      </c>
      <c r="N23" s="73">
        <f>Table1[[#This Row],[unique-clicks]] / Table1[[#This Row],[unique-opens]] * 100</f>
        <v>7.664233576642336</v>
      </c>
      <c r="O23" s="73">
        <f>(MIN(Table1[[#This Row],[unique-opens]]/Table1[[#This Row],[unique-sends]],1)*50
 + MIN(Table1[[#This Row],[unique-clicks]]/Table1[[#This Row],[unique-sends]],1)*50)
 * (1 + MIN(Table1[[#This Row],[unique-clicks]]/Table1[[#This Row],[unique-sends]],1))
 - ((Table1[[#This Row],[unsub]]/Table1[[#This Row],[unique-sends]]*100)*2)</f>
        <v>32.34171650187767</v>
      </c>
      <c r="P23" s="11" t="str">
        <f>IF(Table1[[#This Row],[Engagement Score]]&lt;30,"🔴",IF(Table1[[#This Row],[Engagement Score]]&lt;40,"🟡","🟢"))</f>
        <v>🟡</v>
      </c>
      <c r="Q23" s="9">
        <v>0</v>
      </c>
      <c r="R23" s="9">
        <v>0</v>
      </c>
      <c r="S23" s="9">
        <v>0</v>
      </c>
      <c r="T23" s="14" t="s">
        <v>24</v>
      </c>
    </row>
    <row r="24" spans="1:20" ht="32.1" customHeight="1">
      <c r="A24" s="6">
        <v>51</v>
      </c>
      <c r="B24" s="17" t="s">
        <v>45</v>
      </c>
      <c r="C24" s="65">
        <v>45839</v>
      </c>
      <c r="D24" s="79" t="s">
        <v>29</v>
      </c>
      <c r="E24" s="79" t="s">
        <v>22</v>
      </c>
      <c r="F24" s="9" t="s">
        <v>23</v>
      </c>
      <c r="G24" s="8">
        <v>67</v>
      </c>
      <c r="H24" s="8">
        <v>55</v>
      </c>
      <c r="I24" s="6">
        <v>0</v>
      </c>
      <c r="J24" s="8">
        <v>0</v>
      </c>
      <c r="K24" s="71">
        <f>(Table1[[#This Row],[unsub]]/Table1[[#This Row],[unique-sends]])*100</f>
        <v>0</v>
      </c>
      <c r="L24" s="72">
        <f>Table1[[#This Row],[unique-opens]] / Table1[[#This Row],[unique-sends]] * 100</f>
        <v>82.089552238805979</v>
      </c>
      <c r="M24" s="73">
        <f>Table1[[#This Row],[unique-clicks]] / Table1[[#This Row],[unique-sends]] * 100</f>
        <v>0</v>
      </c>
      <c r="N24" s="73">
        <f>Table1[[#This Row],[unique-clicks]] / Table1[[#This Row],[unique-opens]] * 100</f>
        <v>0</v>
      </c>
      <c r="O24" s="73">
        <f>(MIN(Table1[[#This Row],[unique-opens]]/Table1[[#This Row],[unique-sends]],1)*50
 + MIN(Table1[[#This Row],[unique-clicks]]/Table1[[#This Row],[unique-sends]],1)*50)
 * (1 + MIN(Table1[[#This Row],[unique-clicks]]/Table1[[#This Row],[unique-sends]],1))
 - ((Table1[[#This Row],[unsub]]/Table1[[#This Row],[unique-sends]]*100)*2)</f>
        <v>41.044776119402989</v>
      </c>
      <c r="P24" s="11" t="str">
        <f>IF(Table1[[#This Row],[Engagement Score]]&lt;30,"🔴",IF(Table1[[#This Row],[Engagement Score]]&lt;40,"🟡","🟢"))</f>
        <v>🟢</v>
      </c>
      <c r="Q24" s="9">
        <v>0</v>
      </c>
      <c r="R24" s="9">
        <v>0</v>
      </c>
      <c r="S24" s="9">
        <v>0</v>
      </c>
      <c r="T24" s="14" t="s">
        <v>24</v>
      </c>
    </row>
    <row r="25" spans="1:20" ht="32.1" customHeight="1">
      <c r="A25" s="15">
        <v>53</v>
      </c>
      <c r="B25" s="17" t="s">
        <v>45</v>
      </c>
      <c r="C25" s="65">
        <v>45839</v>
      </c>
      <c r="D25" s="79" t="s">
        <v>21</v>
      </c>
      <c r="E25" s="79" t="s">
        <v>22</v>
      </c>
      <c r="F25" s="9" t="s">
        <v>23</v>
      </c>
      <c r="G25" s="14">
        <v>507</v>
      </c>
      <c r="H25" s="14">
        <v>572</v>
      </c>
      <c r="I25" s="15">
        <v>69</v>
      </c>
      <c r="J25" s="14">
        <v>0</v>
      </c>
      <c r="K25" s="71">
        <f>(Table1[[#This Row],[unsub]]/Table1[[#This Row],[unique-sends]])*100</f>
        <v>0</v>
      </c>
      <c r="L25" s="72">
        <f>Table1[[#This Row],[unique-opens]] / Table1[[#This Row],[unique-sends]] * 100</f>
        <v>112.82051282051282</v>
      </c>
      <c r="M25" s="73">
        <f>Table1[[#This Row],[unique-clicks]] / Table1[[#This Row],[unique-sends]] * 100</f>
        <v>13.609467455621301</v>
      </c>
      <c r="N25" s="73">
        <f>Table1[[#This Row],[unique-clicks]] / Table1[[#This Row],[unique-opens]] * 100</f>
        <v>12.062937062937063</v>
      </c>
      <c r="O25" s="73">
        <f>(MIN(Table1[[#This Row],[unique-opens]]/Table1[[#This Row],[unique-sends]],1)*50
 + MIN(Table1[[#This Row],[unique-clicks]]/Table1[[#This Row],[unique-sends]],1)*50)
 * (1 + MIN(Table1[[#This Row],[unique-clicks]]/Table1[[#This Row],[unique-sends]],1))
 - ((Table1[[#This Row],[unsub]]/Table1[[#This Row],[unique-sends]]*100)*2)</f>
        <v>64.535555477749384</v>
      </c>
      <c r="P25" s="11" t="str">
        <f>IF(Table1[[#This Row],[Engagement Score]]&lt;30,"🔴",IF(Table1[[#This Row],[Engagement Score]]&lt;40,"🟡","🟢"))</f>
        <v>🟢</v>
      </c>
      <c r="Q25" s="9">
        <v>0</v>
      </c>
      <c r="R25" s="9">
        <v>0</v>
      </c>
      <c r="S25" s="9">
        <v>0</v>
      </c>
      <c r="T25" s="14" t="s">
        <v>24</v>
      </c>
    </row>
    <row r="26" spans="1:20" ht="32.1" customHeight="1">
      <c r="A26" s="15">
        <v>54</v>
      </c>
      <c r="B26" s="13" t="s">
        <v>46</v>
      </c>
      <c r="C26" s="65">
        <v>45839</v>
      </c>
      <c r="D26" s="79" t="s">
        <v>21</v>
      </c>
      <c r="E26" s="79" t="s">
        <v>22</v>
      </c>
      <c r="F26" s="9" t="s">
        <v>23</v>
      </c>
      <c r="G26" s="10">
        <v>4141</v>
      </c>
      <c r="H26" s="8">
        <v>3245</v>
      </c>
      <c r="I26" s="6">
        <v>249</v>
      </c>
      <c r="J26" s="8">
        <v>7</v>
      </c>
      <c r="K26" s="71">
        <f>(Table1[[#This Row],[unsub]]/Table1[[#This Row],[unique-sends]])*100</f>
        <v>0.16904129437333978</v>
      </c>
      <c r="L26" s="72">
        <f>Table1[[#This Row],[unique-opens]] / Table1[[#This Row],[unique-sends]] * 100</f>
        <v>78.362714320212518</v>
      </c>
      <c r="M26" s="73">
        <f>Table1[[#This Row],[unique-clicks]] / Table1[[#This Row],[unique-sends]] * 100</f>
        <v>6.0130403284230862</v>
      </c>
      <c r="N26" s="73">
        <f>Table1[[#This Row],[unique-clicks]] / Table1[[#This Row],[unique-opens]] * 100</f>
        <v>7.6733436055469948</v>
      </c>
      <c r="O26" s="73">
        <f>(MIN(Table1[[#This Row],[unique-opens]]/Table1[[#This Row],[unique-sends]],1)*50
 + MIN(Table1[[#This Row],[unique-clicks]]/Table1[[#This Row],[unique-sends]],1)*50)
 * (1 + MIN(Table1[[#This Row],[unique-clicks]]/Table1[[#This Row],[unique-sends]],1))
 - ((Table1[[#This Row],[unsub]]/Table1[[#This Row],[unique-sends]]*100)*2)</f>
        <v>44.386568812788013</v>
      </c>
      <c r="P26" s="11" t="str">
        <f>IF(Table1[[#This Row],[Engagement Score]]&lt;30,"🔴",IF(Table1[[#This Row],[Engagement Score]]&lt;40,"🟡","🟢"))</f>
        <v>🟢</v>
      </c>
      <c r="Q26" s="9">
        <v>0</v>
      </c>
      <c r="R26" s="9">
        <v>0</v>
      </c>
      <c r="S26" s="9">
        <v>0</v>
      </c>
      <c r="T26" s="8" t="s">
        <v>24</v>
      </c>
    </row>
    <row r="27" spans="1:20" ht="32.1" customHeight="1">
      <c r="A27" s="15">
        <v>55</v>
      </c>
      <c r="B27" s="13" t="s">
        <v>47</v>
      </c>
      <c r="C27" s="65">
        <v>45839</v>
      </c>
      <c r="D27" s="79" t="s">
        <v>29</v>
      </c>
      <c r="E27" s="79" t="s">
        <v>22</v>
      </c>
      <c r="F27" s="9" t="s">
        <v>23</v>
      </c>
      <c r="G27" s="14">
        <v>161</v>
      </c>
      <c r="H27" s="14">
        <v>87</v>
      </c>
      <c r="I27" s="15">
        <v>8</v>
      </c>
      <c r="J27" s="14">
        <v>0</v>
      </c>
      <c r="K27" s="71">
        <f>(Table1[[#This Row],[unsub]]/Table1[[#This Row],[unique-sends]])*100</f>
        <v>0</v>
      </c>
      <c r="L27" s="72">
        <f>Table1[[#This Row],[unique-opens]] / Table1[[#This Row],[unique-sends]] * 100</f>
        <v>54.037267080745345</v>
      </c>
      <c r="M27" s="73">
        <f>Table1[[#This Row],[unique-clicks]] / Table1[[#This Row],[unique-sends]] * 100</f>
        <v>4.9689440993788816</v>
      </c>
      <c r="N27" s="73">
        <f>Table1[[#This Row],[unique-clicks]] / Table1[[#This Row],[unique-opens]] * 100</f>
        <v>9.1954022988505741</v>
      </c>
      <c r="O27" s="73">
        <f>(MIN(Table1[[#This Row],[unique-opens]]/Table1[[#This Row],[unique-sends]],1)*50
 + MIN(Table1[[#This Row],[unique-clicks]]/Table1[[#This Row],[unique-sends]],1)*50)
 * (1 + MIN(Table1[[#This Row],[unique-clicks]]/Table1[[#This Row],[unique-sends]],1))
 - ((Table1[[#This Row],[unsub]]/Table1[[#This Row],[unique-sends]]*100)*2)</f>
        <v>30.969098414413029</v>
      </c>
      <c r="P27" s="11" t="str">
        <f>IF(Table1[[#This Row],[Engagement Score]]&lt;30,"🔴",IF(Table1[[#This Row],[Engagement Score]]&lt;40,"🟡","🟢"))</f>
        <v>🟡</v>
      </c>
      <c r="Q27" s="9">
        <v>0</v>
      </c>
      <c r="R27" s="9">
        <v>0</v>
      </c>
      <c r="S27" s="9">
        <v>0</v>
      </c>
      <c r="T27" s="8" t="s">
        <v>24</v>
      </c>
    </row>
    <row r="28" spans="1:20" ht="32.1" customHeight="1">
      <c r="A28" s="15">
        <v>30</v>
      </c>
      <c r="B28" s="17" t="s">
        <v>48</v>
      </c>
      <c r="C28" s="65">
        <v>45846</v>
      </c>
      <c r="D28" s="79" t="s">
        <v>21</v>
      </c>
      <c r="E28" s="79" t="s">
        <v>26</v>
      </c>
      <c r="F28" s="9" t="s">
        <v>27</v>
      </c>
      <c r="G28" s="16">
        <v>2085</v>
      </c>
      <c r="H28" s="14">
        <v>1052</v>
      </c>
      <c r="I28" s="15">
        <v>102</v>
      </c>
      <c r="J28" s="14">
        <v>0</v>
      </c>
      <c r="K28" s="71">
        <f>(Table1[[#This Row],[unsub]]/Table1[[#This Row],[unique-sends]])*100</f>
        <v>0</v>
      </c>
      <c r="L28" s="72">
        <f>Table1[[#This Row],[unique-opens]] / Table1[[#This Row],[unique-sends]] * 100</f>
        <v>50.455635491606706</v>
      </c>
      <c r="M28" s="73">
        <f>Table1[[#This Row],[unique-clicks]] / Table1[[#This Row],[unique-sends]] * 100</f>
        <v>4.8920863309352516</v>
      </c>
      <c r="N28" s="73">
        <f>Table1[[#This Row],[unique-clicks]] / Table1[[#This Row],[unique-opens]] * 100</f>
        <v>9.6958174904942958</v>
      </c>
      <c r="O28" s="73">
        <f>(MIN(Table1[[#This Row],[unique-opens]]/Table1[[#This Row],[unique-sends]],1)*50
 + MIN(Table1[[#This Row],[unique-clicks]]/Table1[[#This Row],[unique-sends]],1)*50)
 * (1 + MIN(Table1[[#This Row],[unique-clicks]]/Table1[[#This Row],[unique-sends]],1))
 - ((Table1[[#This Row],[unsub]]/Table1[[#This Row],[unique-sends]]*100)*2)</f>
        <v>29.027690078153299</v>
      </c>
      <c r="P28" s="11" t="str">
        <f>IF(Table1[[#This Row],[Engagement Score]]&lt;30,"🔴",IF(Table1[[#This Row],[Engagement Score]]&lt;40,"🟡","🟢"))</f>
        <v>🔴</v>
      </c>
      <c r="Q28" s="9">
        <v>82</v>
      </c>
      <c r="R28" s="9">
        <v>8.9</v>
      </c>
      <c r="S28" s="9">
        <v>8.9</v>
      </c>
      <c r="T28" s="18" t="s">
        <v>49</v>
      </c>
    </row>
    <row r="29" spans="1:20" ht="32.1" customHeight="1">
      <c r="A29" s="15">
        <v>30</v>
      </c>
      <c r="B29" s="17" t="s">
        <v>48</v>
      </c>
      <c r="C29" s="65">
        <v>45846</v>
      </c>
      <c r="D29" s="79" t="s">
        <v>29</v>
      </c>
      <c r="E29" s="79" t="s">
        <v>26</v>
      </c>
      <c r="F29" s="9" t="s">
        <v>27</v>
      </c>
      <c r="G29" s="8">
        <v>217</v>
      </c>
      <c r="H29" s="8">
        <v>152</v>
      </c>
      <c r="I29" s="6">
        <v>13</v>
      </c>
      <c r="J29" s="8">
        <v>0</v>
      </c>
      <c r="K29" s="71">
        <f>(Table1[[#This Row],[unsub]]/Table1[[#This Row],[unique-sends]])*100</f>
        <v>0</v>
      </c>
      <c r="L29" s="72">
        <f>Table1[[#This Row],[unique-opens]] / Table1[[#This Row],[unique-sends]] * 100</f>
        <v>70.046082949308754</v>
      </c>
      <c r="M29" s="73">
        <f>Table1[[#This Row],[unique-clicks]] / Table1[[#This Row],[unique-sends]] * 100</f>
        <v>5.9907834101382482</v>
      </c>
      <c r="N29" s="73">
        <f>Table1[[#This Row],[unique-clicks]] / Table1[[#This Row],[unique-opens]] * 100</f>
        <v>8.5526315789473681</v>
      </c>
      <c r="O29" s="73">
        <f>(MIN(Table1[[#This Row],[unique-opens]]/Table1[[#This Row],[unique-sends]],1)*50
 + MIN(Table1[[#This Row],[unique-clicks]]/Table1[[#This Row],[unique-sends]],1)*50)
 * (1 + MIN(Table1[[#This Row],[unique-clicks]]/Table1[[#This Row],[unique-sends]],1))
 - ((Table1[[#This Row],[unsub]]/Table1[[#This Row],[unique-sends]]*100)*2)</f>
        <v>40.296035167448878</v>
      </c>
      <c r="P29" s="11" t="str">
        <f>IF(Table1[[#This Row],[Engagement Score]]&lt;30,"🔴",IF(Table1[[#This Row],[Engagement Score]]&lt;40,"🟡","🟢"))</f>
        <v>🟢</v>
      </c>
      <c r="Q29" s="8">
        <v>73.099999999999994</v>
      </c>
      <c r="R29" s="8">
        <v>19.2</v>
      </c>
      <c r="S29" s="8">
        <v>7.7</v>
      </c>
      <c r="T29" s="18" t="s">
        <v>50</v>
      </c>
    </row>
    <row r="30" spans="1:20" ht="32.1" customHeight="1">
      <c r="A30" s="15">
        <v>30</v>
      </c>
      <c r="B30" s="17" t="s">
        <v>51</v>
      </c>
      <c r="C30" s="65">
        <v>45846</v>
      </c>
      <c r="D30" s="79" t="s">
        <v>21</v>
      </c>
      <c r="E30" s="79" t="s">
        <v>26</v>
      </c>
      <c r="F30" s="9" t="s">
        <v>27</v>
      </c>
      <c r="G30" s="16">
        <v>8369</v>
      </c>
      <c r="H30" s="14">
        <v>4411</v>
      </c>
      <c r="I30" s="15">
        <v>235</v>
      </c>
      <c r="J30" s="14">
        <v>1</v>
      </c>
      <c r="K30" s="71">
        <f>(Table1[[#This Row],[unsub]]/Table1[[#This Row],[unique-sends]])*100</f>
        <v>1.1948858883976579E-2</v>
      </c>
      <c r="L30" s="72">
        <f>Table1[[#This Row],[unique-opens]] / Table1[[#This Row],[unique-sends]] * 100</f>
        <v>52.70641653722069</v>
      </c>
      <c r="M30" s="73">
        <f>Table1[[#This Row],[unique-clicks]] / Table1[[#This Row],[unique-sends]] * 100</f>
        <v>2.8079818377344963</v>
      </c>
      <c r="N30" s="73">
        <f>Table1[[#This Row],[unique-clicks]] / Table1[[#This Row],[unique-opens]] * 100</f>
        <v>5.3275901156200405</v>
      </c>
      <c r="O30" s="73">
        <f>(MIN(Table1[[#This Row],[unique-opens]]/Table1[[#This Row],[unique-sends]],1)*50
 + MIN(Table1[[#This Row],[unique-clicks]]/Table1[[#This Row],[unique-sends]],1)*50)
 * (1 + MIN(Table1[[#This Row],[unique-clicks]]/Table1[[#This Row],[unique-sends]],1))
 - ((Table1[[#This Row],[unsub]]/Table1[[#This Row],[unique-sends]]*100)*2)</f>
        <v>28.512718581557799</v>
      </c>
      <c r="P30" s="11" t="str">
        <f>IF(Table1[[#This Row],[Engagement Score]]&lt;30,"🔴",IF(Table1[[#This Row],[Engagement Score]]&lt;40,"🟡","🟢"))</f>
        <v>🔴</v>
      </c>
      <c r="Q30" s="14">
        <v>73.599999999999994</v>
      </c>
      <c r="R30" s="14">
        <v>14.6</v>
      </c>
      <c r="S30" s="14">
        <v>11.8</v>
      </c>
      <c r="T30" s="20" t="s">
        <v>52</v>
      </c>
    </row>
    <row r="31" spans="1:20" ht="32.1" customHeight="1">
      <c r="A31" s="15">
        <v>30</v>
      </c>
      <c r="B31" s="17" t="s">
        <v>51</v>
      </c>
      <c r="C31" s="65">
        <v>45846</v>
      </c>
      <c r="D31" s="79" t="s">
        <v>29</v>
      </c>
      <c r="E31" s="79" t="s">
        <v>26</v>
      </c>
      <c r="F31" s="9" t="s">
        <v>27</v>
      </c>
      <c r="G31" s="10">
        <v>1253</v>
      </c>
      <c r="H31" s="8">
        <v>800</v>
      </c>
      <c r="I31" s="6">
        <v>46</v>
      </c>
      <c r="J31" s="8">
        <v>0</v>
      </c>
      <c r="K31" s="71">
        <f>(Table1[[#This Row],[unsub]]/Table1[[#This Row],[unique-sends]])*100</f>
        <v>0</v>
      </c>
      <c r="L31" s="72">
        <f>Table1[[#This Row],[unique-opens]] / Table1[[#This Row],[unique-sends]] * 100</f>
        <v>63.846767757382281</v>
      </c>
      <c r="M31" s="73">
        <f>Table1[[#This Row],[unique-clicks]] / Table1[[#This Row],[unique-sends]] * 100</f>
        <v>3.6711891460494814</v>
      </c>
      <c r="N31" s="73">
        <f>Table1[[#This Row],[unique-clicks]] / Table1[[#This Row],[unique-opens]] * 100</f>
        <v>5.75</v>
      </c>
      <c r="O31" s="73">
        <f>(MIN(Table1[[#This Row],[unique-opens]]/Table1[[#This Row],[unique-sends]],1)*50
 + MIN(Table1[[#This Row],[unique-clicks]]/Table1[[#This Row],[unique-sends]],1)*50)
 * (1 + MIN(Table1[[#This Row],[unique-clicks]]/Table1[[#This Row],[unique-sends]],1))
 - ((Table1[[#This Row],[unsub]]/Table1[[#This Row],[unique-sends]]*100)*2)</f>
        <v>34.998334404452464</v>
      </c>
      <c r="P31" s="11" t="str">
        <f>IF(Table1[[#This Row],[Engagement Score]]&lt;30,"🔴",IF(Table1[[#This Row],[Engagement Score]]&lt;40,"🟡","🟢"))</f>
        <v>🟡</v>
      </c>
      <c r="Q31" s="8">
        <v>66.7</v>
      </c>
      <c r="R31" s="8">
        <v>25.3</v>
      </c>
      <c r="S31" s="8">
        <v>8.1</v>
      </c>
      <c r="T31" s="18" t="s">
        <v>53</v>
      </c>
    </row>
    <row r="32" spans="1:20" ht="32.1" customHeight="1">
      <c r="A32" s="15">
        <v>31</v>
      </c>
      <c r="B32" s="17" t="s">
        <v>54</v>
      </c>
      <c r="C32" s="65">
        <v>45846</v>
      </c>
      <c r="D32" s="79" t="s">
        <v>21</v>
      </c>
      <c r="E32" s="79" t="s">
        <v>26</v>
      </c>
      <c r="F32" s="9" t="s">
        <v>27</v>
      </c>
      <c r="G32" s="16">
        <v>8314</v>
      </c>
      <c r="H32" s="14">
        <v>3958</v>
      </c>
      <c r="I32" s="15">
        <v>126</v>
      </c>
      <c r="J32" s="14">
        <v>2</v>
      </c>
      <c r="K32" s="71">
        <f>(Table1[[#This Row],[unsub]]/Table1[[#This Row],[unique-sends]])*100</f>
        <v>2.4055809477988934E-2</v>
      </c>
      <c r="L32" s="72">
        <f>Table1[[#This Row],[unique-opens]] / Table1[[#This Row],[unique-sends]] * 100</f>
        <v>47.606446956940104</v>
      </c>
      <c r="M32" s="73">
        <f>Table1[[#This Row],[unique-clicks]] / Table1[[#This Row],[unique-sends]] * 100</f>
        <v>1.5155159971133028</v>
      </c>
      <c r="N32" s="73">
        <f>Table1[[#This Row],[unique-clicks]] / Table1[[#This Row],[unique-opens]] * 100</f>
        <v>3.1834259727134917</v>
      </c>
      <c r="O32" s="73">
        <f>(MIN(Table1[[#This Row],[unique-opens]]/Table1[[#This Row],[unique-sends]],1)*50
 + MIN(Table1[[#This Row],[unique-clicks]]/Table1[[#This Row],[unique-sends]],1)*50)
 * (1 + MIN(Table1[[#This Row],[unique-clicks]]/Table1[[#This Row],[unique-sends]],1))
 - ((Table1[[#This Row],[unsub]]/Table1[[#This Row],[unique-sends]]*100)*2)</f>
        <v>24.8850954614031</v>
      </c>
      <c r="P32" s="11" t="str">
        <f>IF(Table1[[#This Row],[Engagement Score]]&lt;30,"🔴",IF(Table1[[#This Row],[Engagement Score]]&lt;40,"🟡","🟢"))</f>
        <v>🔴</v>
      </c>
      <c r="Q32" s="14">
        <v>78.8</v>
      </c>
      <c r="R32" s="14">
        <v>14.1</v>
      </c>
      <c r="S32" s="14">
        <v>7.1</v>
      </c>
      <c r="T32" s="20" t="s">
        <v>55</v>
      </c>
    </row>
    <row r="33" spans="1:20" ht="32.1" customHeight="1">
      <c r="A33" s="15">
        <v>31</v>
      </c>
      <c r="B33" s="17" t="s">
        <v>54</v>
      </c>
      <c r="C33" s="65">
        <v>45846</v>
      </c>
      <c r="D33" s="79" t="s">
        <v>29</v>
      </c>
      <c r="E33" s="79" t="s">
        <v>26</v>
      </c>
      <c r="F33" s="9" t="s">
        <v>27</v>
      </c>
      <c r="G33" s="8">
        <v>465</v>
      </c>
      <c r="H33" s="8">
        <v>279</v>
      </c>
      <c r="I33" s="6">
        <v>11</v>
      </c>
      <c r="J33" s="8">
        <v>0</v>
      </c>
      <c r="K33" s="71">
        <f>(Table1[[#This Row],[unsub]]/Table1[[#This Row],[unique-sends]])*100</f>
        <v>0</v>
      </c>
      <c r="L33" s="72">
        <f>Table1[[#This Row],[unique-opens]] / Table1[[#This Row],[unique-sends]] * 100</f>
        <v>60</v>
      </c>
      <c r="M33" s="73">
        <f>Table1[[#This Row],[unique-clicks]] / Table1[[#This Row],[unique-sends]] * 100</f>
        <v>2.3655913978494625</v>
      </c>
      <c r="N33" s="73">
        <f>Table1[[#This Row],[unique-clicks]] / Table1[[#This Row],[unique-opens]] * 100</f>
        <v>3.9426523297491038</v>
      </c>
      <c r="O33" s="73">
        <f>(MIN(Table1[[#This Row],[unique-opens]]/Table1[[#This Row],[unique-sends]],1)*50
 + MIN(Table1[[#This Row],[unique-clicks]]/Table1[[#This Row],[unique-sends]],1)*50)
 * (1 + MIN(Table1[[#This Row],[unique-clicks]]/Table1[[#This Row],[unique-sends]],1))
 - ((Table1[[#This Row],[unsub]]/Table1[[#This Row],[unique-sends]]*100)*2)</f>
        <v>31.920453231587469</v>
      </c>
      <c r="P33" s="11" t="str">
        <f>IF(Table1[[#This Row],[Engagement Score]]&lt;30,"🔴",IF(Table1[[#This Row],[Engagement Score]]&lt;40,"🟡","🟢"))</f>
        <v>🟡</v>
      </c>
      <c r="Q33" s="8">
        <v>60</v>
      </c>
      <c r="R33" s="8">
        <v>20</v>
      </c>
      <c r="S33" s="8">
        <v>20</v>
      </c>
      <c r="T33" s="18" t="s">
        <v>56</v>
      </c>
    </row>
    <row r="34" spans="1:20" ht="32.1" customHeight="1">
      <c r="A34" s="15">
        <v>30</v>
      </c>
      <c r="B34" s="17" t="s">
        <v>57</v>
      </c>
      <c r="C34" s="65">
        <v>45848</v>
      </c>
      <c r="D34" s="79" t="s">
        <v>21</v>
      </c>
      <c r="E34" s="79" t="s">
        <v>26</v>
      </c>
      <c r="F34" s="9" t="s">
        <v>27</v>
      </c>
      <c r="G34" s="16">
        <v>1542</v>
      </c>
      <c r="H34" s="14">
        <v>822</v>
      </c>
      <c r="I34" s="15">
        <v>44</v>
      </c>
      <c r="J34" s="14">
        <v>0</v>
      </c>
      <c r="K34" s="71">
        <f>(Table1[[#This Row],[unsub]]/Table1[[#This Row],[unique-sends]])*100</f>
        <v>0</v>
      </c>
      <c r="L34" s="72">
        <f>Table1[[#This Row],[unique-opens]] / Table1[[#This Row],[unique-sends]] * 100</f>
        <v>53.307392996108952</v>
      </c>
      <c r="M34" s="73">
        <f>Table1[[#This Row],[unique-clicks]] / Table1[[#This Row],[unique-sends]] * 100</f>
        <v>2.8534370946822309</v>
      </c>
      <c r="N34" s="73">
        <f>Table1[[#This Row],[unique-clicks]] / Table1[[#This Row],[unique-opens]] * 100</f>
        <v>5.3527980535279802</v>
      </c>
      <c r="O34" s="73">
        <f>(MIN(Table1[[#This Row],[unique-opens]]/Table1[[#This Row],[unique-sends]],1)*50
 + MIN(Table1[[#This Row],[unique-clicks]]/Table1[[#This Row],[unique-sends]],1)*50)
 * (1 + MIN(Table1[[#This Row],[unique-clicks]]/Table1[[#This Row],[unique-sends]],1))
 - ((Table1[[#This Row],[unsub]]/Table1[[#This Row],[unique-sends]]*100)*2)</f>
        <v>28.881672024641635</v>
      </c>
      <c r="P34" s="11" t="str">
        <f>IF(Table1[[#This Row],[Engagement Score]]&lt;30,"🔴",IF(Table1[[#This Row],[Engagement Score]]&lt;40,"🟡","🟢"))</f>
        <v>🔴</v>
      </c>
      <c r="Q34" s="14">
        <v>75.8</v>
      </c>
      <c r="R34" s="14">
        <v>13.2</v>
      </c>
      <c r="S34" s="14">
        <v>11.1</v>
      </c>
      <c r="T34" s="20" t="s">
        <v>58</v>
      </c>
    </row>
    <row r="35" spans="1:20" ht="32.1" customHeight="1">
      <c r="A35" s="15">
        <v>30</v>
      </c>
      <c r="B35" s="17" t="s">
        <v>57</v>
      </c>
      <c r="C35" s="65">
        <v>45848</v>
      </c>
      <c r="D35" s="79" t="s">
        <v>29</v>
      </c>
      <c r="E35" s="79" t="s">
        <v>26</v>
      </c>
      <c r="F35" s="9" t="s">
        <v>27</v>
      </c>
      <c r="G35" s="8">
        <v>182</v>
      </c>
      <c r="H35" s="8">
        <v>109</v>
      </c>
      <c r="I35" s="6">
        <v>4</v>
      </c>
      <c r="J35" s="8">
        <v>0</v>
      </c>
      <c r="K35" s="71">
        <f>(Table1[[#This Row],[unsub]]/Table1[[#This Row],[unique-sends]])*100</f>
        <v>0</v>
      </c>
      <c r="L35" s="72">
        <f>Table1[[#This Row],[unique-opens]] / Table1[[#This Row],[unique-sends]] * 100</f>
        <v>59.890109890109891</v>
      </c>
      <c r="M35" s="73">
        <f>Table1[[#This Row],[unique-clicks]] / Table1[[#This Row],[unique-sends]] * 100</f>
        <v>2.197802197802198</v>
      </c>
      <c r="N35" s="73">
        <f>Table1[[#This Row],[unique-clicks]] / Table1[[#This Row],[unique-opens]] * 100</f>
        <v>3.669724770642202</v>
      </c>
      <c r="O35" s="73">
        <f>(MIN(Table1[[#This Row],[unique-opens]]/Table1[[#This Row],[unique-sends]],1)*50
 + MIN(Table1[[#This Row],[unique-clicks]]/Table1[[#This Row],[unique-sends]],1)*50)
 * (1 + MIN(Table1[[#This Row],[unique-clicks]]/Table1[[#This Row],[unique-sends]],1))
 - ((Table1[[#This Row],[unsub]]/Table1[[#This Row],[unique-sends]]*100)*2)</f>
        <v>31.726240792174856</v>
      </c>
      <c r="P35" s="11" t="str">
        <f>IF(Table1[[#This Row],[Engagement Score]]&lt;30,"🔴",IF(Table1[[#This Row],[Engagement Score]]&lt;40,"🟡","🟢"))</f>
        <v>🟡</v>
      </c>
      <c r="Q35" s="8">
        <v>66.7</v>
      </c>
      <c r="R35" s="8">
        <v>14.8</v>
      </c>
      <c r="S35" s="8">
        <v>18.5</v>
      </c>
      <c r="T35" s="18" t="s">
        <v>59</v>
      </c>
    </row>
    <row r="36" spans="1:20" ht="32.1" customHeight="1">
      <c r="A36" s="15">
        <v>5</v>
      </c>
      <c r="B36" s="17" t="s">
        <v>60</v>
      </c>
      <c r="C36" s="65">
        <v>45852</v>
      </c>
      <c r="D36" s="79" t="s">
        <v>29</v>
      </c>
      <c r="E36" s="79" t="s">
        <v>22</v>
      </c>
      <c r="F36" s="9" t="s">
        <v>27</v>
      </c>
      <c r="G36" s="16">
        <v>28154</v>
      </c>
      <c r="H36" s="14">
        <v>17646</v>
      </c>
      <c r="I36" s="15">
        <v>950</v>
      </c>
      <c r="J36" s="14">
        <v>13</v>
      </c>
      <c r="K36" s="71">
        <f>(Table1[[#This Row],[unsub]]/Table1[[#This Row],[unique-sends]])*100</f>
        <v>4.617461106769908E-2</v>
      </c>
      <c r="L36" s="72">
        <f>Table1[[#This Row],[unique-opens]] / Table1[[#This Row],[unique-sends]] * 100</f>
        <v>62.676706684662932</v>
      </c>
      <c r="M36" s="73">
        <f>Table1[[#This Row],[unique-clicks]] / Table1[[#This Row],[unique-sends]] * 100</f>
        <v>3.3742985011010869</v>
      </c>
      <c r="N36" s="73">
        <f>Table1[[#This Row],[unique-clicks]] / Table1[[#This Row],[unique-opens]] * 100</f>
        <v>5.3836563527144961</v>
      </c>
      <c r="O36" s="73">
        <f>(MIN(Table1[[#This Row],[unique-opens]]/Table1[[#This Row],[unique-sends]],1)*50
 + MIN(Table1[[#This Row],[unique-clicks]]/Table1[[#This Row],[unique-sends]],1)*50)
 * (1 + MIN(Table1[[#This Row],[unique-clicks]]/Table1[[#This Row],[unique-sends]],1))
 - ((Table1[[#This Row],[unsub]]/Table1[[#This Row],[unique-sends]]*100)*2)</f>
        <v>34.047532409719331</v>
      </c>
      <c r="P36" s="11" t="str">
        <f>IF(Table1[[#This Row],[Engagement Score]]&lt;30,"🔴",IF(Table1[[#This Row],[Engagement Score]]&lt;40,"🟡","🟢"))</f>
        <v>🟡</v>
      </c>
      <c r="Q36" s="14">
        <v>66.3</v>
      </c>
      <c r="R36" s="14">
        <v>16.399999999999999</v>
      </c>
      <c r="S36" s="14">
        <v>17.2</v>
      </c>
      <c r="T36" s="14" t="s">
        <v>24</v>
      </c>
    </row>
    <row r="37" spans="1:20" ht="32.1" customHeight="1">
      <c r="A37" s="15">
        <v>61</v>
      </c>
      <c r="B37" s="17" t="s">
        <v>61</v>
      </c>
      <c r="C37" s="65">
        <v>45852</v>
      </c>
      <c r="D37" s="79" t="s">
        <v>21</v>
      </c>
      <c r="E37" s="79" t="s">
        <v>22</v>
      </c>
      <c r="F37" s="9" t="s">
        <v>27</v>
      </c>
      <c r="G37" s="10">
        <v>320093</v>
      </c>
      <c r="H37" s="8">
        <v>144678</v>
      </c>
      <c r="I37" s="6">
        <v>4310</v>
      </c>
      <c r="J37" s="8">
        <v>4310</v>
      </c>
      <c r="K37" s="71">
        <f>(Table1[[#This Row],[unsub]]/Table1[[#This Row],[unique-sends]])*100</f>
        <v>1.3464836781810285</v>
      </c>
      <c r="L37" s="72">
        <f>Table1[[#This Row],[unique-opens]] / Table1[[#This Row],[unique-sends]] * 100</f>
        <v>45.19873911644428</v>
      </c>
      <c r="M37" s="73">
        <f>Table1[[#This Row],[unique-clicks]] / Table1[[#This Row],[unique-sends]] * 100</f>
        <v>1.3464836781810285</v>
      </c>
      <c r="N37" s="73">
        <f>Table1[[#This Row],[unique-clicks]] / Table1[[#This Row],[unique-opens]] * 100</f>
        <v>2.9790292926360609</v>
      </c>
      <c r="O37" s="73">
        <f>(MIN(Table1[[#This Row],[unique-opens]]/Table1[[#This Row],[unique-sends]],1)*50
 + MIN(Table1[[#This Row],[unique-clicks]]/Table1[[#This Row],[unique-sends]],1)*50)
 * (1 + MIN(Table1[[#This Row],[unique-clicks]]/Table1[[#This Row],[unique-sends]],1))
 - ((Table1[[#This Row],[unsub]]/Table1[[#This Row],[unique-sends]]*100)*2)</f>
        <v>20.893005954901909</v>
      </c>
      <c r="P37" s="11" t="str">
        <f>IF(Table1[[#This Row],[Engagement Score]]&lt;30,"🔴",IF(Table1[[#This Row],[Engagement Score]]&lt;40,"🟡","🟢"))</f>
        <v>🔴</v>
      </c>
      <c r="Q37" s="8">
        <v>68.5</v>
      </c>
      <c r="R37" s="8">
        <v>17.2</v>
      </c>
      <c r="S37" s="8">
        <v>14.3</v>
      </c>
      <c r="T37" s="8" t="s">
        <v>24</v>
      </c>
    </row>
    <row r="38" spans="1:20" ht="32.1" customHeight="1">
      <c r="A38" s="15">
        <v>62</v>
      </c>
      <c r="B38" s="17" t="s">
        <v>62</v>
      </c>
      <c r="C38" s="65">
        <v>45852</v>
      </c>
      <c r="D38" s="79" t="s">
        <v>21</v>
      </c>
      <c r="E38" s="79" t="s">
        <v>22</v>
      </c>
      <c r="F38" s="9" t="s">
        <v>27</v>
      </c>
      <c r="G38" s="10">
        <v>20052</v>
      </c>
      <c r="H38" s="8">
        <v>12307</v>
      </c>
      <c r="I38" s="6">
        <v>875</v>
      </c>
      <c r="J38" s="8">
        <v>1</v>
      </c>
      <c r="K38" s="71">
        <f>(Table1[[#This Row],[unsub]]/Table1[[#This Row],[unique-sends]])*100</f>
        <v>4.9870337123478952E-3</v>
      </c>
      <c r="L38" s="72">
        <f>Table1[[#This Row],[unique-opens]] / Table1[[#This Row],[unique-sends]] * 100</f>
        <v>61.375423897865545</v>
      </c>
      <c r="M38" s="73">
        <f>Table1[[#This Row],[unique-clicks]] / Table1[[#This Row],[unique-sends]] * 100</f>
        <v>4.3636544983044079</v>
      </c>
      <c r="N38" s="73">
        <f>Table1[[#This Row],[unique-clicks]] / Table1[[#This Row],[unique-opens]] * 100</f>
        <v>7.1097749248395221</v>
      </c>
      <c r="O38" s="73">
        <f>(MIN(Table1[[#This Row],[unique-opens]]/Table1[[#This Row],[unique-sends]],1)*50
 + MIN(Table1[[#This Row],[unique-clicks]]/Table1[[#This Row],[unique-sends]],1)*50)
 * (1 + MIN(Table1[[#This Row],[unique-clicks]]/Table1[[#This Row],[unique-sends]],1))
 - ((Table1[[#This Row],[unsub]]/Table1[[#This Row],[unique-sends]]*100)*2)</f>
        <v>34.293878256449453</v>
      </c>
      <c r="P38" s="11" t="str">
        <f>IF(Table1[[#This Row],[Engagement Score]]&lt;30,"🔴",IF(Table1[[#This Row],[Engagement Score]]&lt;40,"🟡","🟢"))</f>
        <v>🟡</v>
      </c>
      <c r="Q38" s="8">
        <v>73.3</v>
      </c>
      <c r="R38" s="8">
        <v>15.1</v>
      </c>
      <c r="S38" s="8">
        <v>11.6</v>
      </c>
      <c r="T38" s="18" t="s">
        <v>63</v>
      </c>
    </row>
    <row r="39" spans="1:20" ht="32.1" customHeight="1">
      <c r="A39" s="15">
        <v>63</v>
      </c>
      <c r="B39" s="17" t="s">
        <v>64</v>
      </c>
      <c r="C39" s="65">
        <v>45852</v>
      </c>
      <c r="D39" s="79" t="s">
        <v>21</v>
      </c>
      <c r="E39" s="79" t="s">
        <v>22</v>
      </c>
      <c r="F39" s="9" t="s">
        <v>27</v>
      </c>
      <c r="G39" s="10">
        <v>6012</v>
      </c>
      <c r="H39" s="8">
        <v>4122</v>
      </c>
      <c r="I39" s="6">
        <v>315</v>
      </c>
      <c r="J39" s="8">
        <v>3</v>
      </c>
      <c r="K39" s="71">
        <f>(Table1[[#This Row],[unsub]]/Table1[[#This Row],[unique-sends]])*100</f>
        <v>4.9900199600798396E-2</v>
      </c>
      <c r="L39" s="72">
        <f>Table1[[#This Row],[unique-opens]] / Table1[[#This Row],[unique-sends]] * 100</f>
        <v>68.562874251497007</v>
      </c>
      <c r="M39" s="73">
        <f>Table1[[#This Row],[unique-clicks]] / Table1[[#This Row],[unique-sends]] * 100</f>
        <v>5.2395209580838316</v>
      </c>
      <c r="N39" s="73">
        <f>Table1[[#This Row],[unique-clicks]] / Table1[[#This Row],[unique-opens]] * 100</f>
        <v>7.6419213973799121</v>
      </c>
      <c r="O39" s="73">
        <f>(MIN(Table1[[#This Row],[unique-opens]]/Table1[[#This Row],[unique-sends]],1)*50
 + MIN(Table1[[#This Row],[unique-clicks]]/Table1[[#This Row],[unique-sends]],1)*50)
 * (1 + MIN(Table1[[#This Row],[unique-clicks]]/Table1[[#This Row],[unique-sends]],1))
 - ((Table1[[#This Row],[unsub]]/Table1[[#This Row],[unique-sends]]*100)*2)</f>
        <v>38.73484318787574</v>
      </c>
      <c r="P39" s="11" t="str">
        <f>IF(Table1[[#This Row],[Engagement Score]]&lt;30,"🔴",IF(Table1[[#This Row],[Engagement Score]]&lt;40,"🟡","🟢"))</f>
        <v>🟡</v>
      </c>
      <c r="Q39" s="8">
        <v>76.3</v>
      </c>
      <c r="R39" s="8">
        <v>14.8</v>
      </c>
      <c r="S39" s="8">
        <v>9</v>
      </c>
      <c r="T39" s="8" t="s">
        <v>24</v>
      </c>
    </row>
    <row r="40" spans="1:20" ht="32.1" customHeight="1">
      <c r="A40" s="15">
        <v>31</v>
      </c>
      <c r="B40" s="17" t="s">
        <v>65</v>
      </c>
      <c r="C40" s="65">
        <v>45853</v>
      </c>
      <c r="D40" s="79" t="s">
        <v>21</v>
      </c>
      <c r="E40" s="79" t="s">
        <v>26</v>
      </c>
      <c r="F40" s="9" t="s">
        <v>27</v>
      </c>
      <c r="G40" s="10">
        <v>6597</v>
      </c>
      <c r="H40" s="8">
        <v>4032</v>
      </c>
      <c r="I40" s="6">
        <v>176</v>
      </c>
      <c r="J40" s="8">
        <v>1</v>
      </c>
      <c r="K40" s="71">
        <f>(Table1[[#This Row],[unsub]]/Table1[[#This Row],[unique-sends]])*100</f>
        <v>1.5158405335758679E-2</v>
      </c>
      <c r="L40" s="72">
        <f>Table1[[#This Row],[unique-opens]] / Table1[[#This Row],[unique-sends]] * 100</f>
        <v>61.118690313778991</v>
      </c>
      <c r="M40" s="73">
        <f>Table1[[#This Row],[unique-clicks]] / Table1[[#This Row],[unique-sends]] * 100</f>
        <v>2.6678793390935271</v>
      </c>
      <c r="N40" s="73">
        <f>Table1[[#This Row],[unique-clicks]] / Table1[[#This Row],[unique-opens]] * 100</f>
        <v>4.3650793650793647</v>
      </c>
      <c r="O40" s="73">
        <f>(MIN(Table1[[#This Row],[unique-opens]]/Table1[[#This Row],[unique-sends]],1)*50
 + MIN(Table1[[#This Row],[unique-clicks]]/Table1[[#This Row],[unique-sends]],1)*50)
 * (1 + MIN(Table1[[#This Row],[unique-clicks]]/Table1[[#This Row],[unique-sends]],1))
 - ((Table1[[#This Row],[unsub]]/Table1[[#This Row],[unique-sends]]*100)*2)</f>
        <v>32.713842372207488</v>
      </c>
      <c r="P40" s="11" t="str">
        <f>IF(Table1[[#This Row],[Engagement Score]]&lt;30,"🔴",IF(Table1[[#This Row],[Engagement Score]]&lt;40,"🟡","🟢"))</f>
        <v>🟡</v>
      </c>
      <c r="Q40" s="8">
        <v>64</v>
      </c>
      <c r="R40" s="8">
        <v>23.4</v>
      </c>
      <c r="S40" s="8">
        <v>126</v>
      </c>
      <c r="T40" s="18" t="s">
        <v>66</v>
      </c>
    </row>
    <row r="41" spans="1:20" ht="32.1" customHeight="1">
      <c r="A41" s="15">
        <v>31</v>
      </c>
      <c r="B41" s="17" t="s">
        <v>65</v>
      </c>
      <c r="C41" s="65">
        <v>45853</v>
      </c>
      <c r="D41" s="79" t="s">
        <v>29</v>
      </c>
      <c r="E41" s="79" t="s">
        <v>26</v>
      </c>
      <c r="F41" s="9" t="s">
        <v>27</v>
      </c>
      <c r="G41" s="8">
        <v>432</v>
      </c>
      <c r="H41" s="8">
        <v>306</v>
      </c>
      <c r="I41" s="6">
        <v>21</v>
      </c>
      <c r="J41" s="8">
        <v>0</v>
      </c>
      <c r="K41" s="71">
        <f>(Table1[[#This Row],[unsub]]/Table1[[#This Row],[unique-sends]])*100</f>
        <v>0</v>
      </c>
      <c r="L41" s="72">
        <f>Table1[[#This Row],[unique-opens]] / Table1[[#This Row],[unique-sends]] * 100</f>
        <v>70.833333333333343</v>
      </c>
      <c r="M41" s="73">
        <f>Table1[[#This Row],[unique-clicks]] / Table1[[#This Row],[unique-sends]] * 100</f>
        <v>4.8611111111111116</v>
      </c>
      <c r="N41" s="73">
        <f>Table1[[#This Row],[unique-clicks]] / Table1[[#This Row],[unique-opens]] * 100</f>
        <v>6.8627450980392162</v>
      </c>
      <c r="O41" s="73">
        <f>(MIN(Table1[[#This Row],[unique-opens]]/Table1[[#This Row],[unique-sends]],1)*50
 + MIN(Table1[[#This Row],[unique-clicks]]/Table1[[#This Row],[unique-sends]],1)*50)
 * (1 + MIN(Table1[[#This Row],[unique-clicks]]/Table1[[#This Row],[unique-sends]],1))
 - ((Table1[[#This Row],[unsub]]/Table1[[#This Row],[unique-sends]]*100)*2)</f>
        <v>39.68701774691359</v>
      </c>
      <c r="P41" s="11" t="str">
        <f>IF(Table1[[#This Row],[Engagement Score]]&lt;30,"🔴",IF(Table1[[#This Row],[Engagement Score]]&lt;40,"🟡","🟢"))</f>
        <v>🟡</v>
      </c>
      <c r="Q41" s="8">
        <v>51.2</v>
      </c>
      <c r="R41" s="8">
        <v>24.4</v>
      </c>
      <c r="S41" s="8">
        <v>4.4000000000000004</v>
      </c>
      <c r="T41" s="18" t="s">
        <v>67</v>
      </c>
    </row>
    <row r="42" spans="1:20" ht="32.1" customHeight="1">
      <c r="A42" s="15">
        <v>77</v>
      </c>
      <c r="B42" s="17" t="s">
        <v>68</v>
      </c>
      <c r="C42" s="65">
        <v>45860</v>
      </c>
      <c r="D42" s="79" t="s">
        <v>21</v>
      </c>
      <c r="E42" s="80" t="s">
        <v>69</v>
      </c>
      <c r="F42" s="9" t="s">
        <v>27</v>
      </c>
      <c r="G42" s="25">
        <v>28</v>
      </c>
      <c r="H42" s="14">
        <v>12</v>
      </c>
      <c r="I42" s="15">
        <v>5</v>
      </c>
      <c r="J42" s="14">
        <v>0</v>
      </c>
      <c r="K42" s="71">
        <f>(Table1[[#This Row],[unsub]]/Table1[[#This Row],[unique-sends]])*100</f>
        <v>0</v>
      </c>
      <c r="L42" s="72">
        <f>Table1[[#This Row],[unique-opens]] / Table1[[#This Row],[unique-sends]] * 100</f>
        <v>42.857142857142854</v>
      </c>
      <c r="M42" s="73">
        <f>Table1[[#This Row],[unique-clicks]] / Table1[[#This Row],[unique-sends]] * 100</f>
        <v>17.857142857142858</v>
      </c>
      <c r="N42" s="73">
        <f>Table1[[#This Row],[unique-clicks]] / Table1[[#This Row],[unique-opens]] * 100</f>
        <v>41.666666666666671</v>
      </c>
      <c r="O42" s="73">
        <f>(MIN(Table1[[#This Row],[unique-opens]]/Table1[[#This Row],[unique-sends]],1)*50
 + MIN(Table1[[#This Row],[unique-clicks]]/Table1[[#This Row],[unique-sends]],1)*50)
 * (1 + MIN(Table1[[#This Row],[unique-clicks]]/Table1[[#This Row],[unique-sends]],1))
 - ((Table1[[#This Row],[unsub]]/Table1[[#This Row],[unique-sends]]*100)*2)</f>
        <v>35.778061224489797</v>
      </c>
      <c r="P42" s="11" t="str">
        <f>IF(Table1[[#This Row],[Engagement Score]]&lt;30,"🔴",IF(Table1[[#This Row],[Engagement Score]]&lt;40,"🟡","🟢"))</f>
        <v>🟡</v>
      </c>
      <c r="Q42" s="14">
        <v>60</v>
      </c>
      <c r="R42" s="14">
        <v>10</v>
      </c>
      <c r="S42" s="14">
        <v>30</v>
      </c>
      <c r="T42" s="14" t="s">
        <v>24</v>
      </c>
    </row>
    <row r="43" spans="1:20" ht="32.1" customHeight="1">
      <c r="A43" s="15">
        <v>31</v>
      </c>
      <c r="B43" s="17" t="s">
        <v>70</v>
      </c>
      <c r="C43" s="65">
        <v>45861</v>
      </c>
      <c r="D43" s="79" t="s">
        <v>21</v>
      </c>
      <c r="E43" s="80" t="s">
        <v>26</v>
      </c>
      <c r="F43" s="9" t="s">
        <v>27</v>
      </c>
      <c r="G43" s="10">
        <v>52075</v>
      </c>
      <c r="H43" s="8">
        <v>31853</v>
      </c>
      <c r="I43" s="6">
        <v>852</v>
      </c>
      <c r="J43" s="8">
        <v>53</v>
      </c>
      <c r="K43" s="71">
        <f>(Table1[[#This Row],[unsub]]/Table1[[#This Row],[unique-sends]])*100</f>
        <v>0.10177628420547288</v>
      </c>
      <c r="L43" s="72">
        <f>Table1[[#This Row],[unique-opens]] / Table1[[#This Row],[unique-sends]] * 100</f>
        <v>61.167546807489202</v>
      </c>
      <c r="M43" s="73">
        <f>Table1[[#This Row],[unique-clicks]] / Table1[[#This Row],[unique-sends]] * 100</f>
        <v>1.6361017762842056</v>
      </c>
      <c r="N43" s="73">
        <f>Table1[[#This Row],[unique-clicks]] / Table1[[#This Row],[unique-opens]] * 100</f>
        <v>2.6747873041785701</v>
      </c>
      <c r="O43" s="73">
        <f>(MIN(Table1[[#This Row],[unique-opens]]/Table1[[#This Row],[unique-sends]],1)*50
 + MIN(Table1[[#This Row],[unique-clicks]]/Table1[[#This Row],[unique-sends]],1)*50)
 * (1 + MIN(Table1[[#This Row],[unique-clicks]]/Table1[[#This Row],[unique-sends]],1))
 - ((Table1[[#This Row],[unsub]]/Table1[[#This Row],[unique-sends]]*100)*2)</f>
        <v>31.712037528500964</v>
      </c>
      <c r="P43" s="11" t="str">
        <f>IF(Table1[[#This Row],[Engagement Score]]&lt;30,"🔴",IF(Table1[[#This Row],[Engagement Score]]&lt;40,"🟡","🟢"))</f>
        <v>🟡</v>
      </c>
      <c r="Q43" s="8">
        <v>63.7</v>
      </c>
      <c r="R43" s="8">
        <v>22.8</v>
      </c>
      <c r="S43" s="8">
        <v>13.6</v>
      </c>
      <c r="T43" s="18" t="s">
        <v>71</v>
      </c>
    </row>
    <row r="44" spans="1:20" ht="32.1" customHeight="1">
      <c r="A44" s="15">
        <v>31</v>
      </c>
      <c r="B44" s="17" t="s">
        <v>70</v>
      </c>
      <c r="C44" s="65">
        <v>45861</v>
      </c>
      <c r="D44" s="79" t="s">
        <v>29</v>
      </c>
      <c r="E44" s="80" t="s">
        <v>26</v>
      </c>
      <c r="F44" s="9" t="s">
        <v>27</v>
      </c>
      <c r="G44" s="16">
        <v>8068</v>
      </c>
      <c r="H44" s="14">
        <v>5683</v>
      </c>
      <c r="I44" s="15">
        <v>269</v>
      </c>
      <c r="J44" s="14">
        <v>0</v>
      </c>
      <c r="K44" s="71">
        <f>(Table1[[#This Row],[unsub]]/Table1[[#This Row],[unique-sends]])*100</f>
        <v>0</v>
      </c>
      <c r="L44" s="72">
        <f>Table1[[#This Row],[unique-opens]] / Table1[[#This Row],[unique-sends]] * 100</f>
        <v>70.438770451165098</v>
      </c>
      <c r="M44" s="73">
        <f>Table1[[#This Row],[unique-clicks]] / Table1[[#This Row],[unique-sends]] * 100</f>
        <v>3.3341596430342091</v>
      </c>
      <c r="N44" s="73">
        <f>Table1[[#This Row],[unique-clicks]] / Table1[[#This Row],[unique-opens]] * 100</f>
        <v>4.7334154495864862</v>
      </c>
      <c r="O44" s="73">
        <f>(MIN(Table1[[#This Row],[unique-opens]]/Table1[[#This Row],[unique-sends]],1)*50
 + MIN(Table1[[#This Row],[unique-clicks]]/Table1[[#This Row],[unique-sends]],1)*50)
 * (1 + MIN(Table1[[#This Row],[unique-clicks]]/Table1[[#This Row],[unique-sends]],1))
 - ((Table1[[#This Row],[unsub]]/Table1[[#This Row],[unique-sends]]*100)*2)</f>
        <v>38.116318678441971</v>
      </c>
      <c r="P44" s="11" t="str">
        <f>IF(Table1[[#This Row],[Engagement Score]]&lt;30,"🔴",IF(Table1[[#This Row],[Engagement Score]]&lt;40,"🟡","🟢"))</f>
        <v>🟡</v>
      </c>
      <c r="Q44" s="8">
        <v>59</v>
      </c>
      <c r="R44" s="8">
        <v>22.4</v>
      </c>
      <c r="S44" s="8">
        <v>18.600000000000001</v>
      </c>
      <c r="T44" s="18" t="s">
        <v>72</v>
      </c>
    </row>
    <row r="45" spans="1:20" ht="32.1" customHeight="1">
      <c r="A45" s="19">
        <v>30</v>
      </c>
      <c r="B45" s="20" t="s">
        <v>73</v>
      </c>
      <c r="C45" s="65">
        <v>45867</v>
      </c>
      <c r="D45" s="79" t="s">
        <v>21</v>
      </c>
      <c r="E45" s="80" t="s">
        <v>26</v>
      </c>
      <c r="F45" s="9" t="s">
        <v>27</v>
      </c>
      <c r="G45" s="10">
        <v>1628</v>
      </c>
      <c r="H45" s="8">
        <v>911</v>
      </c>
      <c r="I45" s="6">
        <v>53</v>
      </c>
      <c r="J45" s="8">
        <v>7</v>
      </c>
      <c r="K45" s="71">
        <f>(Table1[[#This Row],[unsub]]/Table1[[#This Row],[unique-sends]])*100</f>
        <v>0.42997542997542998</v>
      </c>
      <c r="L45" s="72">
        <f>Table1[[#This Row],[unique-opens]] / Table1[[#This Row],[unique-sends]] * 100</f>
        <v>55.958230958230956</v>
      </c>
      <c r="M45" s="73">
        <f>Table1[[#This Row],[unique-clicks]] / Table1[[#This Row],[unique-sends]] * 100</f>
        <v>3.2555282555282554</v>
      </c>
      <c r="N45" s="73">
        <f>Table1[[#This Row],[unique-clicks]] / Table1[[#This Row],[unique-opens]] * 100</f>
        <v>5.8177826564215147</v>
      </c>
      <c r="O45" s="73">
        <f>(MIN(Table1[[#This Row],[unique-opens]]/Table1[[#This Row],[unique-sends]],1)*50
 + MIN(Table1[[#This Row],[unique-clicks]]/Table1[[#This Row],[unique-sends]],1)*50)
 * (1 + MIN(Table1[[#This Row],[unique-clicks]]/Table1[[#This Row],[unique-sends]],1))
 - ((Table1[[#This Row],[unsub]]/Table1[[#This Row],[unique-sends]]*100)*2)</f>
        <v>29.710789078110945</v>
      </c>
      <c r="P45" s="11" t="str">
        <f>IF(Table1[[#This Row],[Engagement Score]]&lt;30,"🔴",IF(Table1[[#This Row],[Engagement Score]]&lt;40,"🟡","🟢"))</f>
        <v>🔴</v>
      </c>
      <c r="Q45" s="8">
        <v>0</v>
      </c>
      <c r="R45" s="8">
        <v>0</v>
      </c>
      <c r="S45" s="8">
        <v>0</v>
      </c>
      <c r="T45" s="8" t="s">
        <v>24</v>
      </c>
    </row>
    <row r="46" spans="1:20" ht="32.1" customHeight="1">
      <c r="A46" s="19">
        <v>30</v>
      </c>
      <c r="B46" s="20" t="s">
        <v>73</v>
      </c>
      <c r="C46" s="65">
        <v>45867</v>
      </c>
      <c r="D46" s="80" t="s">
        <v>29</v>
      </c>
      <c r="E46" s="80" t="s">
        <v>26</v>
      </c>
      <c r="F46" s="9" t="s">
        <v>27</v>
      </c>
      <c r="G46" s="14">
        <v>188</v>
      </c>
      <c r="H46" s="14">
        <v>127</v>
      </c>
      <c r="I46" s="15">
        <v>16</v>
      </c>
      <c r="J46" s="14">
        <v>0</v>
      </c>
      <c r="K46" s="71">
        <f>(Table1[[#This Row],[unsub]]/Table1[[#This Row],[unique-sends]])*100</f>
        <v>0</v>
      </c>
      <c r="L46" s="72">
        <f>Table1[[#This Row],[unique-opens]] / Table1[[#This Row],[unique-sends]] * 100</f>
        <v>67.553191489361694</v>
      </c>
      <c r="M46" s="73">
        <f>Table1[[#This Row],[unique-clicks]] / Table1[[#This Row],[unique-sends]] * 100</f>
        <v>8.5106382978723403</v>
      </c>
      <c r="N46" s="73">
        <f>Table1[[#This Row],[unique-clicks]] / Table1[[#This Row],[unique-opens]] * 100</f>
        <v>12.598425196850393</v>
      </c>
      <c r="O46" s="73">
        <f>(MIN(Table1[[#This Row],[unique-opens]]/Table1[[#This Row],[unique-sends]],1)*50
 + MIN(Table1[[#This Row],[unique-clicks]]/Table1[[#This Row],[unique-sends]],1)*50)
 * (1 + MIN(Table1[[#This Row],[unique-clicks]]/Table1[[#This Row],[unique-sends]],1))
 - ((Table1[[#This Row],[unsub]]/Table1[[#This Row],[unique-sends]]*100)*2)</f>
        <v>41.268673607967393</v>
      </c>
      <c r="P46" s="11" t="str">
        <f>IF(Table1[[#This Row],[Engagement Score]]&lt;30,"🔴",IF(Table1[[#This Row],[Engagement Score]]&lt;40,"🟡","🟢"))</f>
        <v>🟢</v>
      </c>
      <c r="Q46" s="14">
        <v>0</v>
      </c>
      <c r="R46" s="14">
        <v>0</v>
      </c>
      <c r="S46" s="14">
        <v>0</v>
      </c>
      <c r="T46" s="8" t="s">
        <v>24</v>
      </c>
    </row>
    <row r="47" spans="1:20" ht="32.1" customHeight="1">
      <c r="A47" s="19">
        <v>30</v>
      </c>
      <c r="B47" s="21" t="s">
        <v>74</v>
      </c>
      <c r="C47" s="65">
        <v>45867</v>
      </c>
      <c r="D47" s="79" t="s">
        <v>21</v>
      </c>
      <c r="E47" s="80" t="s">
        <v>26</v>
      </c>
      <c r="F47" s="9" t="s">
        <v>27</v>
      </c>
      <c r="G47" s="16">
        <v>1217</v>
      </c>
      <c r="H47" s="14">
        <v>733</v>
      </c>
      <c r="I47" s="15">
        <v>38</v>
      </c>
      <c r="J47" s="14">
        <v>1</v>
      </c>
      <c r="K47" s="71">
        <f>(Table1[[#This Row],[unsub]]/Table1[[#This Row],[unique-sends]])*100</f>
        <v>8.2169268693508629E-2</v>
      </c>
      <c r="L47" s="72">
        <f>Table1[[#This Row],[unique-opens]] / Table1[[#This Row],[unique-sends]] * 100</f>
        <v>60.230073952341826</v>
      </c>
      <c r="M47" s="73">
        <f>Table1[[#This Row],[unique-clicks]] / Table1[[#This Row],[unique-sends]] * 100</f>
        <v>3.122432210353328</v>
      </c>
      <c r="N47" s="73">
        <f>Table1[[#This Row],[unique-clicks]] / Table1[[#This Row],[unique-opens]] * 100</f>
        <v>5.1841746248294678</v>
      </c>
      <c r="O47" s="73">
        <f>(MIN(Table1[[#This Row],[unique-opens]]/Table1[[#This Row],[unique-sends]],1)*50
 + MIN(Table1[[#This Row],[unique-clicks]]/Table1[[#This Row],[unique-sends]],1)*50)
 * (1 + MIN(Table1[[#This Row],[unique-clicks]]/Table1[[#This Row],[unique-sends]],1))
 - ((Table1[[#This Row],[unsub]]/Table1[[#This Row],[unique-sends]]*100)*2)</f>
        <v>32.500984073205601</v>
      </c>
      <c r="P47" s="11" t="str">
        <f>IF(Table1[[#This Row],[Engagement Score]]&lt;30,"🔴",IF(Table1[[#This Row],[Engagement Score]]&lt;40,"🟡","🟢"))</f>
        <v>🟡</v>
      </c>
      <c r="Q47" s="14">
        <v>0</v>
      </c>
      <c r="R47" s="14">
        <v>0</v>
      </c>
      <c r="S47" s="14">
        <v>0</v>
      </c>
      <c r="T47" s="8" t="s">
        <v>24</v>
      </c>
    </row>
    <row r="48" spans="1:20" ht="32.1" customHeight="1">
      <c r="A48" s="15">
        <v>30</v>
      </c>
      <c r="B48" s="21" t="s">
        <v>74</v>
      </c>
      <c r="C48" s="65">
        <v>45867</v>
      </c>
      <c r="D48" s="80" t="s">
        <v>29</v>
      </c>
      <c r="E48" s="80" t="s">
        <v>26</v>
      </c>
      <c r="F48" s="9" t="s">
        <v>27</v>
      </c>
      <c r="G48" s="14">
        <v>155</v>
      </c>
      <c r="H48" s="14">
        <v>106</v>
      </c>
      <c r="I48" s="15">
        <v>4</v>
      </c>
      <c r="J48" s="14">
        <v>0</v>
      </c>
      <c r="K48" s="71">
        <f>(Table1[[#This Row],[unsub]]/Table1[[#This Row],[unique-sends]])*100</f>
        <v>0</v>
      </c>
      <c r="L48" s="72">
        <f>Table1[[#This Row],[unique-opens]] / Table1[[#This Row],[unique-sends]] * 100</f>
        <v>68.387096774193552</v>
      </c>
      <c r="M48" s="73">
        <f>Table1[[#This Row],[unique-clicks]] / Table1[[#This Row],[unique-sends]] * 100</f>
        <v>2.5806451612903225</v>
      </c>
      <c r="N48" s="73">
        <f>Table1[[#This Row],[unique-clicks]] / Table1[[#This Row],[unique-opens]] * 100</f>
        <v>3.7735849056603774</v>
      </c>
      <c r="O48" s="73">
        <f>(MIN(Table1[[#This Row],[unique-opens]]/Table1[[#This Row],[unique-sends]],1)*50
 + MIN(Table1[[#This Row],[unique-clicks]]/Table1[[#This Row],[unique-sends]],1)*50)
 * (1 + MIN(Table1[[#This Row],[unique-clicks]]/Table1[[#This Row],[unique-sends]],1))
 - ((Table1[[#This Row],[unsub]]/Table1[[#This Row],[unique-sends]]*100)*2)</f>
        <v>36.399583766909473</v>
      </c>
      <c r="P48" s="11" t="str">
        <f>IF(Table1[[#This Row],[Engagement Score]]&lt;30,"🔴",IF(Table1[[#This Row],[Engagement Score]]&lt;40,"🟡","🟢"))</f>
        <v>🟡</v>
      </c>
      <c r="Q48" s="14">
        <v>0</v>
      </c>
      <c r="R48" s="14">
        <v>0</v>
      </c>
      <c r="S48" s="14">
        <v>0</v>
      </c>
      <c r="T48" s="8" t="s">
        <v>24</v>
      </c>
    </row>
    <row r="49" spans="1:20" ht="32.1" customHeight="1">
      <c r="A49" s="15">
        <v>31</v>
      </c>
      <c r="B49" s="21" t="s">
        <v>75</v>
      </c>
      <c r="C49" s="65">
        <v>45867</v>
      </c>
      <c r="D49" s="80" t="s">
        <v>21</v>
      </c>
      <c r="E49" s="80" t="s">
        <v>26</v>
      </c>
      <c r="F49" s="9" t="s">
        <v>27</v>
      </c>
      <c r="G49" s="16">
        <v>8974</v>
      </c>
      <c r="H49" s="14">
        <v>5645</v>
      </c>
      <c r="I49" s="15">
        <v>165</v>
      </c>
      <c r="J49" s="14">
        <v>31</v>
      </c>
      <c r="K49" s="71">
        <f>(Table1[[#This Row],[unsub]]/Table1[[#This Row],[unique-sends]])*100</f>
        <v>0.34544238912413638</v>
      </c>
      <c r="L49" s="72">
        <f>Table1[[#This Row],[unique-opens]] / Table1[[#This Row],[unique-sends]] * 100</f>
        <v>62.903944729217741</v>
      </c>
      <c r="M49" s="73">
        <f>Table1[[#This Row],[unique-clicks]] / Table1[[#This Row],[unique-sends]] * 100</f>
        <v>1.8386449743704034</v>
      </c>
      <c r="N49" s="73">
        <f>Table1[[#This Row],[unique-clicks]] / Table1[[#This Row],[unique-opens]] * 100</f>
        <v>2.9229406554472983</v>
      </c>
      <c r="O49" s="73">
        <f>(MIN(Table1[[#This Row],[unique-opens]]/Table1[[#This Row],[unique-sends]],1)*50
 + MIN(Table1[[#This Row],[unique-clicks]]/Table1[[#This Row],[unique-sends]],1)*50)
 * (1 + MIN(Table1[[#This Row],[unique-clicks]]/Table1[[#This Row],[unique-sends]],1))
 - ((Table1[[#This Row],[unsub]]/Table1[[#This Row],[unique-sends]]*100)*2)</f>
        <v>32.275603259476938</v>
      </c>
      <c r="P49" s="11" t="str">
        <f>IF(Table1[[#This Row],[Engagement Score]]&lt;30,"🔴",IF(Table1[[#This Row],[Engagement Score]]&lt;40,"🟡","🟢"))</f>
        <v>🟡</v>
      </c>
      <c r="Q49" s="14">
        <v>61.8</v>
      </c>
      <c r="R49" s="14">
        <v>19.100000000000001</v>
      </c>
      <c r="S49" s="14">
        <v>19.100000000000001</v>
      </c>
      <c r="T49" s="18" t="s">
        <v>76</v>
      </c>
    </row>
    <row r="50" spans="1:20" ht="32.1" customHeight="1">
      <c r="A50" s="15">
        <v>31</v>
      </c>
      <c r="B50" s="21" t="s">
        <v>75</v>
      </c>
      <c r="C50" s="65">
        <v>45867</v>
      </c>
      <c r="D50" s="79" t="s">
        <v>29</v>
      </c>
      <c r="E50" s="80" t="s">
        <v>26</v>
      </c>
      <c r="F50" s="9" t="s">
        <v>27</v>
      </c>
      <c r="G50" s="14">
        <v>610</v>
      </c>
      <c r="H50" s="14">
        <v>388</v>
      </c>
      <c r="I50" s="15">
        <v>12</v>
      </c>
      <c r="J50" s="14">
        <v>0</v>
      </c>
      <c r="K50" s="71">
        <f>(Table1[[#This Row],[unsub]]/Table1[[#This Row],[unique-sends]])*100</f>
        <v>0</v>
      </c>
      <c r="L50" s="72">
        <f>Table1[[#This Row],[unique-opens]] / Table1[[#This Row],[unique-sends]] * 100</f>
        <v>63.606557377049178</v>
      </c>
      <c r="M50" s="73">
        <f>Table1[[#This Row],[unique-clicks]] / Table1[[#This Row],[unique-sends]] * 100</f>
        <v>1.9672131147540985</v>
      </c>
      <c r="N50" s="73">
        <f>Table1[[#This Row],[unique-clicks]] / Table1[[#This Row],[unique-opens]] * 100</f>
        <v>3.0927835051546393</v>
      </c>
      <c r="O50" s="73">
        <f>(MIN(Table1[[#This Row],[unique-opens]]/Table1[[#This Row],[unique-sends]],1)*50
 + MIN(Table1[[#This Row],[unique-clicks]]/Table1[[#This Row],[unique-sends]],1)*50)
 * (1 + MIN(Table1[[#This Row],[unique-clicks]]/Table1[[#This Row],[unique-sends]],1))
 - ((Table1[[#This Row],[unsub]]/Table1[[#This Row],[unique-sends]]*100)*2)</f>
        <v>33.431873152378387</v>
      </c>
      <c r="P50" s="11" t="str">
        <f>IF(Table1[[#This Row],[Engagement Score]]&lt;30,"🔴",IF(Table1[[#This Row],[Engagement Score]]&lt;40,"🟡","🟢"))</f>
        <v>🟡</v>
      </c>
      <c r="Q50" s="14">
        <v>52.4</v>
      </c>
      <c r="R50" s="14">
        <v>14.3</v>
      </c>
      <c r="S50" s="14">
        <v>33.299999999999997</v>
      </c>
      <c r="T50" s="18" t="s">
        <v>77</v>
      </c>
    </row>
    <row r="51" spans="1:20" ht="32.1" customHeight="1">
      <c r="A51" s="15">
        <v>14</v>
      </c>
      <c r="B51" s="22" t="s">
        <v>20</v>
      </c>
      <c r="C51" s="65">
        <v>45870</v>
      </c>
      <c r="D51" s="79" t="s">
        <v>21</v>
      </c>
      <c r="E51" s="80" t="s">
        <v>22</v>
      </c>
      <c r="F51" s="9" t="s">
        <v>23</v>
      </c>
      <c r="G51" s="16">
        <v>1899</v>
      </c>
      <c r="H51" s="14">
        <v>2119</v>
      </c>
      <c r="I51" s="15">
        <v>50</v>
      </c>
      <c r="J51" s="14">
        <v>19</v>
      </c>
      <c r="K51" s="71">
        <f>(Table1[[#This Row],[unsub]]/Table1[[#This Row],[unique-sends]])*100</f>
        <v>1.0005265929436546</v>
      </c>
      <c r="L51" s="72">
        <f>Table1[[#This Row],[unique-opens]] / Table1[[#This Row],[unique-sends]] * 100</f>
        <v>111.58504476040021</v>
      </c>
      <c r="M51" s="73">
        <f>Table1[[#This Row],[unique-clicks]] / Table1[[#This Row],[unique-sends]] * 100</f>
        <v>2.6329647182727749</v>
      </c>
      <c r="N51" s="73">
        <f>Table1[[#This Row],[unique-clicks]] / Table1[[#This Row],[unique-opens]] * 100</f>
        <v>2.3596035865974514</v>
      </c>
      <c r="O51" s="73">
        <f>(MIN(Table1[[#This Row],[unique-opens]]/Table1[[#This Row],[unique-sends]],1)*50
 + MIN(Table1[[#This Row],[unique-clicks]]/Table1[[#This Row],[unique-sends]],1)*50)
 * (1 + MIN(Table1[[#This Row],[unique-clicks]]/Table1[[#This Row],[unique-sends]],1))
 - ((Table1[[#This Row],[unsub]]/Table1[[#This Row],[unique-sends]]*100)*2)</f>
        <v>50.666574048423811</v>
      </c>
      <c r="P51" s="11" t="str">
        <f>IF(Table1[[#This Row],[Engagement Score]]&lt;30,"🔴",IF(Table1[[#This Row],[Engagement Score]]&lt;40,"🟡","🟢"))</f>
        <v>🟢</v>
      </c>
      <c r="Q51" s="14">
        <v>0</v>
      </c>
      <c r="R51" s="14">
        <v>0</v>
      </c>
      <c r="S51" s="14">
        <v>0</v>
      </c>
      <c r="T51" s="8" t="s">
        <v>24</v>
      </c>
    </row>
    <row r="52" spans="1:20" ht="32.1" customHeight="1">
      <c r="A52" s="15">
        <v>34</v>
      </c>
      <c r="B52" s="17" t="s">
        <v>31</v>
      </c>
      <c r="C52" s="65">
        <v>45870</v>
      </c>
      <c r="D52" s="79" t="s">
        <v>21</v>
      </c>
      <c r="E52" s="80" t="s">
        <v>22</v>
      </c>
      <c r="F52" s="9" t="s">
        <v>23</v>
      </c>
      <c r="G52" s="10">
        <v>5410</v>
      </c>
      <c r="H52" s="8">
        <v>3834</v>
      </c>
      <c r="I52" s="6">
        <v>130</v>
      </c>
      <c r="J52" s="8">
        <v>0</v>
      </c>
      <c r="K52" s="71">
        <f>(Table1[[#This Row],[unsub]]/Table1[[#This Row],[unique-sends]])*100</f>
        <v>0</v>
      </c>
      <c r="L52" s="72">
        <f>Table1[[#This Row],[unique-opens]] / Table1[[#This Row],[unique-sends]] * 100</f>
        <v>70.868761552680226</v>
      </c>
      <c r="M52" s="73">
        <f>Table1[[#This Row],[unique-clicks]] / Table1[[#This Row],[unique-sends]] * 100</f>
        <v>2.4029574861367835</v>
      </c>
      <c r="N52" s="73">
        <f>Table1[[#This Row],[unique-clicks]] / Table1[[#This Row],[unique-opens]] * 100</f>
        <v>3.3907146583202921</v>
      </c>
      <c r="O52" s="73">
        <f>(MIN(Table1[[#This Row],[unique-opens]]/Table1[[#This Row],[unique-sends]],1)*50
 + MIN(Table1[[#This Row],[unique-clicks]]/Table1[[#This Row],[unique-sends]],1)*50)
 * (1 + MIN(Table1[[#This Row],[unique-clicks]]/Table1[[#This Row],[unique-sends]],1))
 - ((Table1[[#This Row],[unsub]]/Table1[[#This Row],[unique-sends]]*100)*2)</f>
        <v>37.516203648340692</v>
      </c>
      <c r="P52" s="11" t="str">
        <f>IF(Table1[[#This Row],[Engagement Score]]&lt;30,"🔴",IF(Table1[[#This Row],[Engagement Score]]&lt;40,"🟡","🟢"))</f>
        <v>🟡</v>
      </c>
      <c r="Q52" s="8">
        <v>0</v>
      </c>
      <c r="R52" s="8">
        <v>0</v>
      </c>
      <c r="S52" s="8">
        <v>0</v>
      </c>
      <c r="T52" s="8" t="s">
        <v>24</v>
      </c>
    </row>
    <row r="53" spans="1:20" ht="32.1" customHeight="1">
      <c r="A53" s="15">
        <v>35</v>
      </c>
      <c r="B53" s="13" t="s">
        <v>32</v>
      </c>
      <c r="C53" s="65">
        <v>45870</v>
      </c>
      <c r="D53" s="80" t="s">
        <v>21</v>
      </c>
      <c r="E53" s="80" t="s">
        <v>22</v>
      </c>
      <c r="F53" s="9" t="s">
        <v>23</v>
      </c>
      <c r="G53" s="16">
        <v>3461</v>
      </c>
      <c r="H53" s="14">
        <v>1904</v>
      </c>
      <c r="I53" s="15">
        <v>211</v>
      </c>
      <c r="J53" s="14">
        <v>7</v>
      </c>
      <c r="K53" s="71">
        <f>(Table1[[#This Row],[unsub]]/Table1[[#This Row],[unique-sends]])*100</f>
        <v>0.20225368390638546</v>
      </c>
      <c r="L53" s="72">
        <f>Table1[[#This Row],[unique-opens]] / Table1[[#This Row],[unique-sends]] * 100</f>
        <v>55.013002022536838</v>
      </c>
      <c r="M53" s="73">
        <f>Table1[[#This Row],[unique-clicks]] / Table1[[#This Row],[unique-sends]] * 100</f>
        <v>6.096503900606761</v>
      </c>
      <c r="N53" s="73">
        <f>Table1[[#This Row],[unique-clicks]] / Table1[[#This Row],[unique-opens]] * 100</f>
        <v>11.081932773109243</v>
      </c>
      <c r="O53" s="73">
        <f>(MIN(Table1[[#This Row],[unique-opens]]/Table1[[#This Row],[unique-sends]],1)*50
 + MIN(Table1[[#This Row],[unique-clicks]]/Table1[[#This Row],[unique-sends]],1)*50)
 * (1 + MIN(Table1[[#This Row],[unique-clicks]]/Table1[[#This Row],[unique-sends]],1))
 - ((Table1[[#This Row],[unsub]]/Table1[[#This Row],[unique-sends]]*100)*2)</f>
        <v>32.013017299882016</v>
      </c>
      <c r="P53" s="11" t="str">
        <f>IF(Table1[[#This Row],[Engagement Score]]&lt;30,"🔴",IF(Table1[[#This Row],[Engagement Score]]&lt;40,"🟡","🟢"))</f>
        <v>🟡</v>
      </c>
      <c r="Q53" s="14">
        <v>0</v>
      </c>
      <c r="R53" s="14">
        <v>0</v>
      </c>
      <c r="S53" s="14">
        <v>0</v>
      </c>
      <c r="T53" s="8" t="s">
        <v>24</v>
      </c>
    </row>
    <row r="54" spans="1:20" ht="32.1" customHeight="1">
      <c r="A54" s="15">
        <v>36</v>
      </c>
      <c r="B54" s="13" t="s">
        <v>32</v>
      </c>
      <c r="C54" s="65">
        <v>45870</v>
      </c>
      <c r="D54" s="79" t="s">
        <v>29</v>
      </c>
      <c r="E54" s="79" t="s">
        <v>22</v>
      </c>
      <c r="F54" s="9" t="s">
        <v>23</v>
      </c>
      <c r="G54" s="8">
        <v>148</v>
      </c>
      <c r="H54" s="8">
        <v>115</v>
      </c>
      <c r="I54" s="6">
        <v>23</v>
      </c>
      <c r="J54" s="8">
        <v>0</v>
      </c>
      <c r="K54" s="71">
        <f>(Table1[[#This Row],[unsub]]/Table1[[#This Row],[unique-sends]])*100</f>
        <v>0</v>
      </c>
      <c r="L54" s="72">
        <f>Table1[[#This Row],[unique-opens]] / Table1[[#This Row],[unique-sends]] * 100</f>
        <v>77.702702702702695</v>
      </c>
      <c r="M54" s="73">
        <f>Table1[[#This Row],[unique-clicks]] / Table1[[#This Row],[unique-sends]] * 100</f>
        <v>15.54054054054054</v>
      </c>
      <c r="N54" s="73">
        <f>Table1[[#This Row],[unique-clicks]] / Table1[[#This Row],[unique-opens]] * 100</f>
        <v>20</v>
      </c>
      <c r="O54" s="73">
        <f>(MIN(Table1[[#This Row],[unique-opens]]/Table1[[#This Row],[unique-sends]],1)*50
 + MIN(Table1[[#This Row],[unique-clicks]]/Table1[[#This Row],[unique-sends]],1)*50)
 * (1 + MIN(Table1[[#This Row],[unique-clicks]]/Table1[[#This Row],[unique-sends]],1))
 - ((Table1[[#This Row],[unsub]]/Table1[[#This Row],[unique-sends]]*100)*2)</f>
        <v>53.86687363038714</v>
      </c>
      <c r="P54" s="11" t="str">
        <f>IF(Table1[[#This Row],[Engagement Score]]&lt;30,"🔴",IF(Table1[[#This Row],[Engagement Score]]&lt;40,"🟡","🟢"))</f>
        <v>🟢</v>
      </c>
      <c r="Q54" s="8">
        <v>0</v>
      </c>
      <c r="R54" s="8">
        <v>0</v>
      </c>
      <c r="S54" s="8">
        <v>0</v>
      </c>
      <c r="T54" s="8" t="s">
        <v>24</v>
      </c>
    </row>
    <row r="55" spans="1:20" ht="32.1" customHeight="1">
      <c r="A55" s="15">
        <v>38</v>
      </c>
      <c r="B55" s="17" t="s">
        <v>33</v>
      </c>
      <c r="C55" s="65">
        <v>45870</v>
      </c>
      <c r="D55" s="79" t="s">
        <v>21</v>
      </c>
      <c r="E55" s="79" t="s">
        <v>22</v>
      </c>
      <c r="F55" s="9" t="s">
        <v>23</v>
      </c>
      <c r="G55" s="16">
        <v>4486</v>
      </c>
      <c r="H55" s="14">
        <v>2891</v>
      </c>
      <c r="I55" s="15">
        <v>108</v>
      </c>
      <c r="J55" s="14">
        <v>12</v>
      </c>
      <c r="K55" s="71">
        <f>(Table1[[#This Row],[unsub]]/Table1[[#This Row],[unique-sends]])*100</f>
        <v>0.26749888542131073</v>
      </c>
      <c r="L55" s="72">
        <f>Table1[[#This Row],[unique-opens]] / Table1[[#This Row],[unique-sends]] * 100</f>
        <v>64.444939812750775</v>
      </c>
      <c r="M55" s="73">
        <f>Table1[[#This Row],[unique-clicks]] / Table1[[#This Row],[unique-sends]] * 100</f>
        <v>2.4074899687917966</v>
      </c>
      <c r="N55" s="73">
        <f>Table1[[#This Row],[unique-clicks]] / Table1[[#This Row],[unique-opens]] * 100</f>
        <v>3.7357315807679004</v>
      </c>
      <c r="O55" s="73">
        <f>(MIN(Table1[[#This Row],[unique-opens]]/Table1[[#This Row],[unique-sends]],1)*50
 + MIN(Table1[[#This Row],[unique-clicks]]/Table1[[#This Row],[unique-sends]],1)*50)
 * (1 + MIN(Table1[[#This Row],[unique-clicks]]/Table1[[#This Row],[unique-sends]],1))
 - ((Table1[[#This Row],[unsub]]/Table1[[#This Row],[unique-sends]]*100)*2)</f>
        <v>33.69594989037077</v>
      </c>
      <c r="P55" s="11" t="str">
        <f>IF(Table1[[#This Row],[Engagement Score]]&lt;30,"🔴",IF(Table1[[#This Row],[Engagement Score]]&lt;40,"🟡","🟢"))</f>
        <v>🟡</v>
      </c>
      <c r="Q55" s="14">
        <v>0</v>
      </c>
      <c r="R55" s="14">
        <v>0</v>
      </c>
      <c r="S55" s="14">
        <v>0</v>
      </c>
      <c r="T55" s="14" t="s">
        <v>24</v>
      </c>
    </row>
    <row r="56" spans="1:20" ht="32.1" customHeight="1">
      <c r="A56" s="15">
        <v>39</v>
      </c>
      <c r="B56" s="17" t="s">
        <v>33</v>
      </c>
      <c r="C56" s="65">
        <v>45870</v>
      </c>
      <c r="D56" s="79" t="s">
        <v>29</v>
      </c>
      <c r="E56" s="79" t="s">
        <v>22</v>
      </c>
      <c r="F56" s="9" t="s">
        <v>23</v>
      </c>
      <c r="G56" s="8">
        <v>163</v>
      </c>
      <c r="H56" s="8">
        <v>81</v>
      </c>
      <c r="I56" s="6">
        <v>4</v>
      </c>
      <c r="J56" s="8">
        <v>0</v>
      </c>
      <c r="K56" s="71">
        <f>(Table1[[#This Row],[unsub]]/Table1[[#This Row],[unique-sends]])*100</f>
        <v>0</v>
      </c>
      <c r="L56" s="72">
        <f>Table1[[#This Row],[unique-opens]] / Table1[[#This Row],[unique-sends]] * 100</f>
        <v>49.693251533742334</v>
      </c>
      <c r="M56" s="73">
        <f>Table1[[#This Row],[unique-clicks]] / Table1[[#This Row],[unique-sends]] * 100</f>
        <v>2.4539877300613497</v>
      </c>
      <c r="N56" s="73">
        <f>Table1[[#This Row],[unique-clicks]] / Table1[[#This Row],[unique-opens]] * 100</f>
        <v>4.9382716049382713</v>
      </c>
      <c r="O56" s="73">
        <f>(MIN(Table1[[#This Row],[unique-opens]]/Table1[[#This Row],[unique-sends]],1)*50
 + MIN(Table1[[#This Row],[unique-clicks]]/Table1[[#This Row],[unique-sends]],1)*50)
 * (1 + MIN(Table1[[#This Row],[unique-clicks]]/Table1[[#This Row],[unique-sends]],1))
 - ((Table1[[#This Row],[unsub]]/Table1[[#This Row],[unique-sends]]*100)*2)</f>
        <v>26.713463058451584</v>
      </c>
      <c r="P56" s="11" t="str">
        <f>IF(Table1[[#This Row],[Engagement Score]]&lt;30,"🔴",IF(Table1[[#This Row],[Engagement Score]]&lt;40,"🟡","🟢"))</f>
        <v>🔴</v>
      </c>
      <c r="Q56" s="8">
        <v>0</v>
      </c>
      <c r="R56" s="8">
        <v>0</v>
      </c>
      <c r="S56" s="8">
        <v>0</v>
      </c>
      <c r="T56" s="8" t="s">
        <v>24</v>
      </c>
    </row>
    <row r="57" spans="1:20" ht="32.1" customHeight="1">
      <c r="A57" s="15">
        <v>40</v>
      </c>
      <c r="B57" s="17" t="s">
        <v>35</v>
      </c>
      <c r="C57" s="65">
        <v>45870</v>
      </c>
      <c r="D57" s="79" t="s">
        <v>21</v>
      </c>
      <c r="E57" s="79" t="s">
        <v>22</v>
      </c>
      <c r="F57" s="9" t="s">
        <v>23</v>
      </c>
      <c r="G57" s="14">
        <v>769</v>
      </c>
      <c r="H57" s="14">
        <v>469</v>
      </c>
      <c r="I57" s="15">
        <v>36</v>
      </c>
      <c r="J57" s="14">
        <v>4</v>
      </c>
      <c r="K57" s="71">
        <f>(Table1[[#This Row],[unsub]]/Table1[[#This Row],[unique-sends]])*100</f>
        <v>0.52015604681404426</v>
      </c>
      <c r="L57" s="72">
        <f>Table1[[#This Row],[unique-opens]] / Table1[[#This Row],[unique-sends]] * 100</f>
        <v>60.988296488946681</v>
      </c>
      <c r="M57" s="73">
        <f>Table1[[#This Row],[unique-clicks]] / Table1[[#This Row],[unique-sends]] * 100</f>
        <v>4.6814044213263983</v>
      </c>
      <c r="N57" s="73">
        <f>Table1[[#This Row],[unique-clicks]] / Table1[[#This Row],[unique-opens]] * 100</f>
        <v>7.6759061833688706</v>
      </c>
      <c r="O57" s="73">
        <f>(MIN(Table1[[#This Row],[unique-opens]]/Table1[[#This Row],[unique-sends]],1)*50
 + MIN(Table1[[#This Row],[unique-clicks]]/Table1[[#This Row],[unique-sends]],1)*50)
 * (1 + MIN(Table1[[#This Row],[unique-clicks]]/Table1[[#This Row],[unique-sends]],1))
 - ((Table1[[#This Row],[unsub]]/Table1[[#This Row],[unique-sends]]*100)*2)</f>
        <v>33.331670502451125</v>
      </c>
      <c r="P57" s="11" t="str">
        <f>IF(Table1[[#This Row],[Engagement Score]]&lt;30,"🔴",IF(Table1[[#This Row],[Engagement Score]]&lt;40,"🟡","🟢"))</f>
        <v>🟡</v>
      </c>
      <c r="Q57" s="14">
        <v>0</v>
      </c>
      <c r="R57" s="14">
        <v>0</v>
      </c>
      <c r="S57" s="14">
        <v>0</v>
      </c>
      <c r="T57" s="14" t="s">
        <v>24</v>
      </c>
    </row>
    <row r="58" spans="1:20" ht="32.1" customHeight="1">
      <c r="A58" s="15">
        <v>41</v>
      </c>
      <c r="B58" s="17" t="s">
        <v>36</v>
      </c>
      <c r="C58" s="65">
        <v>45870</v>
      </c>
      <c r="D58" s="79" t="s">
        <v>21</v>
      </c>
      <c r="E58" s="79" t="s">
        <v>22</v>
      </c>
      <c r="F58" s="9" t="s">
        <v>23</v>
      </c>
      <c r="G58" s="8">
        <v>377</v>
      </c>
      <c r="H58" s="8">
        <v>211</v>
      </c>
      <c r="I58" s="6">
        <v>15</v>
      </c>
      <c r="J58" s="8">
        <v>0</v>
      </c>
      <c r="K58" s="71">
        <f>(Table1[[#This Row],[unsub]]/Table1[[#This Row],[unique-sends]])*100</f>
        <v>0</v>
      </c>
      <c r="L58" s="72">
        <f>Table1[[#This Row],[unique-opens]] / Table1[[#This Row],[unique-sends]] * 100</f>
        <v>55.968169761273209</v>
      </c>
      <c r="M58" s="73">
        <f>Table1[[#This Row],[unique-clicks]] / Table1[[#This Row],[unique-sends]] * 100</f>
        <v>3.978779840848806</v>
      </c>
      <c r="N58" s="73">
        <f>Table1[[#This Row],[unique-clicks]] / Table1[[#This Row],[unique-opens]] * 100</f>
        <v>7.109004739336493</v>
      </c>
      <c r="O58" s="73">
        <f>(MIN(Table1[[#This Row],[unique-opens]]/Table1[[#This Row],[unique-sends]],1)*50
 + MIN(Table1[[#This Row],[unique-clicks]]/Table1[[#This Row],[unique-sends]],1)*50)
 * (1 + MIN(Table1[[#This Row],[unique-clicks]]/Table1[[#This Row],[unique-sends]],1))
 - ((Table1[[#This Row],[unsub]]/Table1[[#This Row],[unique-sends]]*100)*2)</f>
        <v>31.166053374047518</v>
      </c>
      <c r="P58" s="11" t="str">
        <f>IF(Table1[[#This Row],[Engagement Score]]&lt;30,"🔴",IF(Table1[[#This Row],[Engagement Score]]&lt;40,"🟡","🟢"))</f>
        <v>🟡</v>
      </c>
      <c r="Q58" s="8">
        <v>0</v>
      </c>
      <c r="R58" s="8">
        <v>0</v>
      </c>
      <c r="S58" s="8">
        <v>0</v>
      </c>
      <c r="T58" s="8" t="s">
        <v>24</v>
      </c>
    </row>
    <row r="59" spans="1:20" ht="32.1" customHeight="1">
      <c r="A59" s="15">
        <v>42</v>
      </c>
      <c r="B59" s="17" t="s">
        <v>37</v>
      </c>
      <c r="C59" s="65">
        <v>45870</v>
      </c>
      <c r="D59" s="79" t="s">
        <v>21</v>
      </c>
      <c r="E59" s="79" t="s">
        <v>22</v>
      </c>
      <c r="F59" s="9" t="s">
        <v>23</v>
      </c>
      <c r="G59" s="16">
        <v>1538</v>
      </c>
      <c r="H59" s="14">
        <v>1017</v>
      </c>
      <c r="I59" s="15">
        <v>42</v>
      </c>
      <c r="J59" s="14">
        <v>10</v>
      </c>
      <c r="K59" s="71">
        <f>(Table1[[#This Row],[unsub]]/Table1[[#This Row],[unique-sends]])*100</f>
        <v>0.65019505851755521</v>
      </c>
      <c r="L59" s="72">
        <f>Table1[[#This Row],[unique-opens]] / Table1[[#This Row],[unique-sends]] * 100</f>
        <v>66.124837451235379</v>
      </c>
      <c r="M59" s="73">
        <f>Table1[[#This Row],[unique-clicks]] / Table1[[#This Row],[unique-sends]] * 100</f>
        <v>2.7308192457737324</v>
      </c>
      <c r="N59" s="73">
        <f>Table1[[#This Row],[unique-clicks]] / Table1[[#This Row],[unique-opens]] * 100</f>
        <v>4.1297935103244834</v>
      </c>
      <c r="O59" s="73">
        <f>(MIN(Table1[[#This Row],[unique-opens]]/Table1[[#This Row],[unique-sends]],1)*50
 + MIN(Table1[[#This Row],[unique-clicks]]/Table1[[#This Row],[unique-sends]],1)*50)
 * (1 + MIN(Table1[[#This Row],[unique-clicks]]/Table1[[#This Row],[unique-sends]],1))
 - ((Table1[[#This Row],[unsub]]/Table1[[#This Row],[unique-sends]]*100)*2)</f>
        <v>34.06759999391236</v>
      </c>
      <c r="P59" s="11" t="str">
        <f>IF(Table1[[#This Row],[Engagement Score]]&lt;30,"🔴",IF(Table1[[#This Row],[Engagement Score]]&lt;40,"🟡","🟢"))</f>
        <v>🟡</v>
      </c>
      <c r="Q59" s="14">
        <v>0</v>
      </c>
      <c r="R59" s="14">
        <v>0</v>
      </c>
      <c r="S59" s="14">
        <v>0</v>
      </c>
      <c r="T59" s="14" t="s">
        <v>24</v>
      </c>
    </row>
    <row r="60" spans="1:20" ht="32.1" customHeight="1">
      <c r="A60" s="15">
        <v>43</v>
      </c>
      <c r="B60" s="17" t="s">
        <v>38</v>
      </c>
      <c r="C60" s="65">
        <v>45870</v>
      </c>
      <c r="D60" s="79" t="s">
        <v>21</v>
      </c>
      <c r="E60" s="79" t="s">
        <v>22</v>
      </c>
      <c r="F60" s="9" t="s">
        <v>23</v>
      </c>
      <c r="G60" s="8">
        <v>798</v>
      </c>
      <c r="H60" s="8">
        <v>437</v>
      </c>
      <c r="I60" s="6">
        <v>42</v>
      </c>
      <c r="J60" s="8">
        <v>1</v>
      </c>
      <c r="K60" s="71">
        <f>(Table1[[#This Row],[unsub]]/Table1[[#This Row],[unique-sends]])*100</f>
        <v>0.12531328320802004</v>
      </c>
      <c r="L60" s="72">
        <f>Table1[[#This Row],[unique-opens]] / Table1[[#This Row],[unique-sends]] * 100</f>
        <v>54.761904761904766</v>
      </c>
      <c r="M60" s="73">
        <f>Table1[[#This Row],[unique-clicks]] / Table1[[#This Row],[unique-sends]] * 100</f>
        <v>5.2631578947368416</v>
      </c>
      <c r="N60" s="73">
        <f>Table1[[#This Row],[unique-clicks]] / Table1[[#This Row],[unique-opens]] * 100</f>
        <v>9.610983981693364</v>
      </c>
      <c r="O60" s="73">
        <f>(MIN(Table1[[#This Row],[unique-opens]]/Table1[[#This Row],[unique-sends]],1)*50
 + MIN(Table1[[#This Row],[unique-clicks]]/Table1[[#This Row],[unique-sends]],1)*50)
 * (1 + MIN(Table1[[#This Row],[unique-clicks]]/Table1[[#This Row],[unique-sends]],1))
 - ((Table1[[#This Row],[unsub]]/Table1[[#This Row],[unique-sends]]*100)*2)</f>
        <v>31.341511673921644</v>
      </c>
      <c r="P60" s="11" t="str">
        <f>IF(Table1[[#This Row],[Engagement Score]]&lt;30,"🔴",IF(Table1[[#This Row],[Engagement Score]]&lt;40,"🟡","🟢"))</f>
        <v>🟡</v>
      </c>
      <c r="Q60" s="8">
        <v>0</v>
      </c>
      <c r="R60" s="8">
        <v>0</v>
      </c>
      <c r="S60" s="8">
        <v>0</v>
      </c>
      <c r="T60" s="8" t="s">
        <v>24</v>
      </c>
    </row>
    <row r="61" spans="1:20" ht="32.1" customHeight="1">
      <c r="A61" s="15">
        <v>44</v>
      </c>
      <c r="B61" s="17" t="s">
        <v>39</v>
      </c>
      <c r="C61" s="65">
        <v>45870</v>
      </c>
      <c r="D61" s="79" t="s">
        <v>21</v>
      </c>
      <c r="E61" s="79" t="s">
        <v>22</v>
      </c>
      <c r="F61" s="9" t="s">
        <v>23</v>
      </c>
      <c r="G61" s="8">
        <v>119</v>
      </c>
      <c r="H61" s="8">
        <v>74</v>
      </c>
      <c r="I61" s="6">
        <v>6</v>
      </c>
      <c r="J61" s="8">
        <v>0</v>
      </c>
      <c r="K61" s="71">
        <f>(Table1[[#This Row],[unsub]]/Table1[[#This Row],[unique-sends]])*100</f>
        <v>0</v>
      </c>
      <c r="L61" s="72">
        <f>Table1[[#This Row],[unique-opens]] / Table1[[#This Row],[unique-sends]] * 100</f>
        <v>62.184873949579831</v>
      </c>
      <c r="M61" s="73">
        <f>Table1[[#This Row],[unique-clicks]] / Table1[[#This Row],[unique-sends]] * 100</f>
        <v>5.0420168067226889</v>
      </c>
      <c r="N61" s="73">
        <f>Table1[[#This Row],[unique-clicks]] / Table1[[#This Row],[unique-opens]] * 100</f>
        <v>8.1081081081081088</v>
      </c>
      <c r="O61" s="73">
        <f>(MIN(Table1[[#This Row],[unique-opens]]/Table1[[#This Row],[unique-sends]],1)*50
 + MIN(Table1[[#This Row],[unique-clicks]]/Table1[[#This Row],[unique-sends]],1)*50)
 * (1 + MIN(Table1[[#This Row],[unique-clicks]]/Table1[[#This Row],[unique-sends]],1))
 - ((Table1[[#This Row],[unsub]]/Table1[[#This Row],[unique-sends]]*100)*2)</f>
        <v>35.308240943436203</v>
      </c>
      <c r="P61" s="11" t="str">
        <f>IF(Table1[[#This Row],[Engagement Score]]&lt;30,"🔴",IF(Table1[[#This Row],[Engagement Score]]&lt;40,"🟡","🟢"))</f>
        <v>🟡</v>
      </c>
      <c r="Q61" s="8">
        <v>0</v>
      </c>
      <c r="R61" s="8">
        <v>0</v>
      </c>
      <c r="S61" s="8">
        <v>0</v>
      </c>
      <c r="T61" s="8" t="s">
        <v>24</v>
      </c>
    </row>
    <row r="62" spans="1:20" ht="32.1" customHeight="1">
      <c r="A62" s="15">
        <v>96</v>
      </c>
      <c r="B62" s="17" t="s">
        <v>40</v>
      </c>
      <c r="C62" s="65">
        <v>45870</v>
      </c>
      <c r="D62" s="79" t="s">
        <v>29</v>
      </c>
      <c r="E62" s="79" t="s">
        <v>22</v>
      </c>
      <c r="F62" s="9" t="s">
        <v>23</v>
      </c>
      <c r="G62" s="8">
        <v>181</v>
      </c>
      <c r="H62" s="46">
        <v>118</v>
      </c>
      <c r="I62" s="47">
        <v>8</v>
      </c>
      <c r="J62" s="8">
        <v>0</v>
      </c>
      <c r="K62" s="71">
        <f>(Table1[[#This Row],[unsub]]/Table1[[#This Row],[unique-sends]])*100</f>
        <v>0</v>
      </c>
      <c r="L62" s="72">
        <f>Table1[[#This Row],[unique-opens]] / Table1[[#This Row],[unique-sends]] * 100</f>
        <v>65.193370165745861</v>
      </c>
      <c r="M62" s="73">
        <f>Table1[[#This Row],[unique-clicks]] / Table1[[#This Row],[unique-sends]] * 100</f>
        <v>4.4198895027624303</v>
      </c>
      <c r="N62" s="73">
        <f>Table1[[#This Row],[unique-clicks]] / Table1[[#This Row],[unique-opens]] * 100</f>
        <v>6.7796610169491522</v>
      </c>
      <c r="O62" s="73">
        <f>(MIN(Table1[[#This Row],[unique-opens]]/Table1[[#This Row],[unique-sends]],1)*50
 + MIN(Table1[[#This Row],[unique-clicks]]/Table1[[#This Row],[unique-sends]],1)*50)
 * (1 + MIN(Table1[[#This Row],[unique-clicks]]/Table1[[#This Row],[unique-sends]],1))
 - ((Table1[[#This Row],[unsub]]/Table1[[#This Row],[unique-sends]]*100)*2)</f>
        <v>36.345044412563716</v>
      </c>
      <c r="P62" s="11" t="str">
        <f>IF(Table1[[#This Row],[Engagement Score]]&lt;30,"🔴",IF(Table1[[#This Row],[Engagement Score]]&lt;40,"🟡","🟢"))</f>
        <v>🟡</v>
      </c>
      <c r="Q62" s="8">
        <v>0</v>
      </c>
      <c r="R62" s="8">
        <v>0</v>
      </c>
      <c r="S62" s="8">
        <v>0</v>
      </c>
      <c r="T62" s="8" t="s">
        <v>24</v>
      </c>
    </row>
    <row r="63" spans="1:20" ht="32.1" customHeight="1">
      <c r="A63" s="15">
        <v>45</v>
      </c>
      <c r="B63" s="17" t="s">
        <v>41</v>
      </c>
      <c r="C63" s="65">
        <v>45870</v>
      </c>
      <c r="D63" s="79" t="s">
        <v>29</v>
      </c>
      <c r="E63" s="79" t="s">
        <v>22</v>
      </c>
      <c r="F63" s="9" t="s">
        <v>23</v>
      </c>
      <c r="G63" s="8">
        <v>71</v>
      </c>
      <c r="H63" s="8">
        <v>55</v>
      </c>
      <c r="I63" s="6">
        <v>5</v>
      </c>
      <c r="J63" s="8">
        <v>0</v>
      </c>
      <c r="K63" s="71">
        <f>(Table1[[#This Row],[unsub]]/Table1[[#This Row],[unique-sends]])*100</f>
        <v>0</v>
      </c>
      <c r="L63" s="72">
        <f>Table1[[#This Row],[unique-opens]] / Table1[[#This Row],[unique-sends]] * 100</f>
        <v>77.464788732394368</v>
      </c>
      <c r="M63" s="73">
        <f>Table1[[#This Row],[unique-clicks]] / Table1[[#This Row],[unique-sends]] * 100</f>
        <v>7.042253521126761</v>
      </c>
      <c r="N63" s="73">
        <f>Table1[[#This Row],[unique-clicks]] / Table1[[#This Row],[unique-opens]] * 100</f>
        <v>9.0909090909090917</v>
      </c>
      <c r="O63" s="73">
        <f>(MIN(Table1[[#This Row],[unique-opens]]/Table1[[#This Row],[unique-sends]],1)*50
 + MIN(Table1[[#This Row],[unique-clicks]]/Table1[[#This Row],[unique-sends]],1)*50)
 * (1 + MIN(Table1[[#This Row],[unique-clicks]]/Table1[[#This Row],[unique-sends]],1))
 - ((Table1[[#This Row],[unsub]]/Table1[[#This Row],[unique-sends]]*100)*2)</f>
        <v>45.229121206109902</v>
      </c>
      <c r="P63" s="11" t="str">
        <f>IF(Table1[[#This Row],[Engagement Score]]&lt;30,"🔴",IF(Table1[[#This Row],[Engagement Score]]&lt;40,"🟡","🟢"))</f>
        <v>🟢</v>
      </c>
      <c r="Q63" s="8">
        <v>0</v>
      </c>
      <c r="R63" s="8">
        <v>0</v>
      </c>
      <c r="S63" s="8">
        <v>0</v>
      </c>
      <c r="T63" s="8" t="s">
        <v>24</v>
      </c>
    </row>
    <row r="64" spans="1:20" ht="32.1" customHeight="1">
      <c r="A64" s="15">
        <v>46</v>
      </c>
      <c r="B64" s="17" t="s">
        <v>40</v>
      </c>
      <c r="C64" s="65">
        <v>45870</v>
      </c>
      <c r="D64" s="79" t="s">
        <v>21</v>
      </c>
      <c r="E64" s="79" t="s">
        <v>22</v>
      </c>
      <c r="F64" s="9" t="s">
        <v>23</v>
      </c>
      <c r="G64" s="8">
        <v>5486</v>
      </c>
      <c r="H64" s="46">
        <v>3228</v>
      </c>
      <c r="I64" s="47">
        <v>413</v>
      </c>
      <c r="J64" s="8">
        <v>6</v>
      </c>
      <c r="K64" s="71">
        <f>(Table1[[#This Row],[unsub]]/Table1[[#This Row],[unique-sends]])*100</f>
        <v>0.10936930368209989</v>
      </c>
      <c r="L64" s="72">
        <f>Table1[[#This Row],[unique-opens]] / Table1[[#This Row],[unique-sends]] * 100</f>
        <v>58.840685380969738</v>
      </c>
      <c r="M64" s="73">
        <f>Table1[[#This Row],[unique-clicks]] / Table1[[#This Row],[unique-sends]] * 100</f>
        <v>7.528253736784543</v>
      </c>
      <c r="N64" s="73">
        <f>Table1[[#This Row],[unique-clicks]] / Table1[[#This Row],[unique-opens]] * 100</f>
        <v>12.794299876084262</v>
      </c>
      <c r="O64" s="73">
        <f>(MIN(Table1[[#This Row],[unique-opens]]/Table1[[#This Row],[unique-sends]],1)*50
 + MIN(Table1[[#This Row],[unique-clicks]]/Table1[[#This Row],[unique-sends]],1)*50)
 * (1 + MIN(Table1[[#This Row],[unique-clicks]]/Table1[[#This Row],[unique-sends]],1))
 - ((Table1[[#This Row],[unsub]]/Table1[[#This Row],[unique-sends]]*100)*2)</f>
        <v>35.463942021111237</v>
      </c>
      <c r="P64" s="11" t="str">
        <f>IF(Table1[[#This Row],[Engagement Score]]&lt;30,"🔴",IF(Table1[[#This Row],[Engagement Score]]&lt;40,"🟡","🟢"))</f>
        <v>🟡</v>
      </c>
      <c r="Q64" s="8">
        <v>0</v>
      </c>
      <c r="R64" s="8">
        <v>0</v>
      </c>
      <c r="S64" s="8">
        <v>0</v>
      </c>
      <c r="T64" s="8" t="s">
        <v>24</v>
      </c>
    </row>
    <row r="65" spans="1:20" ht="32.1" customHeight="1">
      <c r="A65" s="15">
        <v>46</v>
      </c>
      <c r="B65" s="17" t="s">
        <v>41</v>
      </c>
      <c r="C65" s="65">
        <v>45870</v>
      </c>
      <c r="D65" s="80" t="s">
        <v>21</v>
      </c>
      <c r="E65" s="79" t="s">
        <v>22</v>
      </c>
      <c r="F65" s="9" t="s">
        <v>23</v>
      </c>
      <c r="G65" s="16">
        <v>1991</v>
      </c>
      <c r="H65" s="14">
        <v>1202</v>
      </c>
      <c r="I65" s="15">
        <v>180</v>
      </c>
      <c r="J65" s="8">
        <v>3</v>
      </c>
      <c r="K65" s="71">
        <f>(Table1[[#This Row],[unsub]]/Table1[[#This Row],[unique-sends]])*100</f>
        <v>0.15067805123053743</v>
      </c>
      <c r="L65" s="72">
        <f>Table1[[#This Row],[unique-opens]] / Table1[[#This Row],[unique-sends]] * 100</f>
        <v>60.371672526368656</v>
      </c>
      <c r="M65" s="73">
        <f>Table1[[#This Row],[unique-clicks]] / Table1[[#This Row],[unique-sends]] * 100</f>
        <v>9.0406830738322448</v>
      </c>
      <c r="N65" s="73">
        <f>Table1[[#This Row],[unique-clicks]] / Table1[[#This Row],[unique-opens]] * 100</f>
        <v>14.975041597337771</v>
      </c>
      <c r="O65" s="73">
        <f>(MIN(Table1[[#This Row],[unique-opens]]/Table1[[#This Row],[unique-sends]],1)*50
 + MIN(Table1[[#This Row],[unique-clicks]]/Table1[[#This Row],[unique-sends]],1)*50)
 * (1 + MIN(Table1[[#This Row],[unique-clicks]]/Table1[[#This Row],[unique-sends]],1))
 - ((Table1[[#This Row],[unsub]]/Table1[[#This Row],[unique-sends]]*100)*2)</f>
        <v>37.542497239587171</v>
      </c>
      <c r="P65" s="11" t="str">
        <f>IF(Table1[[#This Row],[Engagement Score]]&lt;30,"🔴",IF(Table1[[#This Row],[Engagement Score]]&lt;40,"🟡","🟢"))</f>
        <v>🟡</v>
      </c>
      <c r="Q65" s="8">
        <v>0</v>
      </c>
      <c r="R65" s="8">
        <v>0</v>
      </c>
      <c r="S65" s="8">
        <v>0</v>
      </c>
      <c r="T65" s="8" t="s">
        <v>24</v>
      </c>
    </row>
    <row r="66" spans="1:20" ht="32.1" customHeight="1">
      <c r="A66" s="15">
        <v>47</v>
      </c>
      <c r="B66" s="17" t="s">
        <v>43</v>
      </c>
      <c r="C66" s="65">
        <v>45870</v>
      </c>
      <c r="D66" s="79" t="s">
        <v>21</v>
      </c>
      <c r="E66" s="79" t="s">
        <v>22</v>
      </c>
      <c r="F66" s="9" t="s">
        <v>23</v>
      </c>
      <c r="G66" s="10">
        <v>4841</v>
      </c>
      <c r="H66" s="8">
        <v>3405</v>
      </c>
      <c r="I66" s="6">
        <v>320</v>
      </c>
      <c r="J66" s="8">
        <v>25</v>
      </c>
      <c r="K66" s="71">
        <f>(Table1[[#This Row],[unsub]]/Table1[[#This Row],[unique-sends]])*100</f>
        <v>0.51642222681264194</v>
      </c>
      <c r="L66" s="72">
        <f>Table1[[#This Row],[unique-opens]] / Table1[[#This Row],[unique-sends]] * 100</f>
        <v>70.336707291881837</v>
      </c>
      <c r="M66" s="73">
        <f>Table1[[#This Row],[unique-clicks]] / Table1[[#This Row],[unique-sends]] * 100</f>
        <v>6.6102045032018175</v>
      </c>
      <c r="N66" s="73">
        <f>Table1[[#This Row],[unique-clicks]] / Table1[[#This Row],[unique-opens]] * 100</f>
        <v>9.3979441997063144</v>
      </c>
      <c r="O66" s="73">
        <f>(MIN(Table1[[#This Row],[unique-opens]]/Table1[[#This Row],[unique-sends]],1)*50
 + MIN(Table1[[#This Row],[unique-clicks]]/Table1[[#This Row],[unique-sends]],1)*50)
 * (1 + MIN(Table1[[#This Row],[unique-clicks]]/Table1[[#This Row],[unique-sends]],1))
 - ((Table1[[#This Row],[unsub]]/Table1[[#This Row],[unique-sends]]*100)*2)</f>
        <v>39.983785558193219</v>
      </c>
      <c r="P66" s="11" t="str">
        <f>IF(Table1[[#This Row],[Engagement Score]]&lt;30,"🔴",IF(Table1[[#This Row],[Engagement Score]]&lt;40,"🟡","🟢"))</f>
        <v>🟡</v>
      </c>
      <c r="Q66" s="8">
        <v>0</v>
      </c>
      <c r="R66" s="8">
        <v>0</v>
      </c>
      <c r="S66" s="8">
        <v>0</v>
      </c>
      <c r="T66" s="8" t="s">
        <v>24</v>
      </c>
    </row>
    <row r="67" spans="1:20" ht="32.1" customHeight="1">
      <c r="A67" s="15">
        <v>48</v>
      </c>
      <c r="B67" s="17" t="s">
        <v>43</v>
      </c>
      <c r="C67" s="65">
        <v>45870</v>
      </c>
      <c r="D67" s="79" t="s">
        <v>29</v>
      </c>
      <c r="E67" s="79" t="s">
        <v>22</v>
      </c>
      <c r="F67" s="9" t="s">
        <v>23</v>
      </c>
      <c r="G67" s="14">
        <v>217</v>
      </c>
      <c r="H67" s="14">
        <v>148</v>
      </c>
      <c r="I67" s="15">
        <v>14</v>
      </c>
      <c r="J67" s="14">
        <v>0</v>
      </c>
      <c r="K67" s="71">
        <f>(Table1[[#This Row],[unsub]]/Table1[[#This Row],[unique-sends]])*100</f>
        <v>0</v>
      </c>
      <c r="L67" s="72">
        <f>Table1[[#This Row],[unique-opens]] / Table1[[#This Row],[unique-sends]] * 100</f>
        <v>68.202764976958534</v>
      </c>
      <c r="M67" s="73">
        <f>Table1[[#This Row],[unique-clicks]] / Table1[[#This Row],[unique-sends]] * 100</f>
        <v>6.4516129032258061</v>
      </c>
      <c r="N67" s="73">
        <f>Table1[[#This Row],[unique-clicks]] / Table1[[#This Row],[unique-opens]] * 100</f>
        <v>9.4594594594594597</v>
      </c>
      <c r="O67" s="73">
        <f>(MIN(Table1[[#This Row],[unique-opens]]/Table1[[#This Row],[unique-sends]],1)*50
 + MIN(Table1[[#This Row],[unique-clicks]]/Table1[[#This Row],[unique-sends]],1)*50)
 * (1 + MIN(Table1[[#This Row],[unique-clicks]]/Table1[[#This Row],[unique-sends]],1))
 - ((Table1[[#This Row],[unsub]]/Table1[[#This Row],[unique-sends]]*100)*2)</f>
        <v>39.735394678162635</v>
      </c>
      <c r="P67" s="11" t="str">
        <f>IF(Table1[[#This Row],[Engagement Score]]&lt;30,"🔴",IF(Table1[[#This Row],[Engagement Score]]&lt;40,"🟡","🟢"))</f>
        <v>🟡</v>
      </c>
      <c r="Q67" s="14">
        <v>0</v>
      </c>
      <c r="R67" s="14">
        <v>0</v>
      </c>
      <c r="S67" s="14">
        <v>0</v>
      </c>
      <c r="T67" s="14" t="s">
        <v>24</v>
      </c>
    </row>
    <row r="68" spans="1:20" ht="32.1" customHeight="1">
      <c r="A68" s="15">
        <v>49</v>
      </c>
      <c r="B68" s="17" t="s">
        <v>44</v>
      </c>
      <c r="C68" s="65">
        <v>45870</v>
      </c>
      <c r="D68" s="79" t="s">
        <v>21</v>
      </c>
      <c r="E68" s="79" t="s">
        <v>22</v>
      </c>
      <c r="F68" s="9" t="s">
        <v>23</v>
      </c>
      <c r="G68" s="10">
        <v>3525</v>
      </c>
      <c r="H68" s="8">
        <v>2628</v>
      </c>
      <c r="I68" s="6">
        <v>136</v>
      </c>
      <c r="J68" s="8">
        <v>8</v>
      </c>
      <c r="K68" s="71">
        <f>(Table1[[#This Row],[unsub]]/Table1[[#This Row],[unique-sends]])*100</f>
        <v>0.22695035460992907</v>
      </c>
      <c r="L68" s="72">
        <f>Table1[[#This Row],[unique-opens]] / Table1[[#This Row],[unique-sends]] * 100</f>
        <v>74.553191489361708</v>
      </c>
      <c r="M68" s="73">
        <f>Table1[[#This Row],[unique-clicks]] / Table1[[#This Row],[unique-sends]] * 100</f>
        <v>3.8581560283687941</v>
      </c>
      <c r="N68" s="73">
        <f>Table1[[#This Row],[unique-clicks]] / Table1[[#This Row],[unique-opens]] * 100</f>
        <v>5.1750380517503807</v>
      </c>
      <c r="O68" s="73">
        <f>(MIN(Table1[[#This Row],[unique-opens]]/Table1[[#This Row],[unique-sends]],1)*50
 + MIN(Table1[[#This Row],[unique-clicks]]/Table1[[#This Row],[unique-sends]],1)*50)
 * (1 + MIN(Table1[[#This Row],[unique-clicks]]/Table1[[#This Row],[unique-sends]],1))
 - ((Table1[[#This Row],[unsub]]/Table1[[#This Row],[unique-sends]]*100)*2)</f>
        <v>40.264389115235652</v>
      </c>
      <c r="P68" s="11" t="str">
        <f>IF(Table1[[#This Row],[Engagement Score]]&lt;30,"🔴",IF(Table1[[#This Row],[Engagement Score]]&lt;40,"🟡","🟢"))</f>
        <v>🟢</v>
      </c>
      <c r="Q68" s="8">
        <v>0</v>
      </c>
      <c r="R68" s="8">
        <v>0</v>
      </c>
      <c r="S68" s="8">
        <v>0</v>
      </c>
      <c r="T68" s="8" t="s">
        <v>24</v>
      </c>
    </row>
    <row r="69" spans="1:20" ht="32.1" customHeight="1">
      <c r="A69" s="15">
        <v>50</v>
      </c>
      <c r="B69" s="17" t="s">
        <v>44</v>
      </c>
      <c r="C69" s="65">
        <v>45870</v>
      </c>
      <c r="D69" s="80" t="s">
        <v>29</v>
      </c>
      <c r="E69" s="79" t="s">
        <v>22</v>
      </c>
      <c r="F69" s="9" t="s">
        <v>23</v>
      </c>
      <c r="G69" s="14">
        <v>165</v>
      </c>
      <c r="H69" s="14">
        <v>133</v>
      </c>
      <c r="I69" s="15">
        <v>16</v>
      </c>
      <c r="J69" s="8">
        <v>1</v>
      </c>
      <c r="K69" s="71">
        <f>(Table1[[#This Row],[unsub]]/Table1[[#This Row],[unique-sends]])*100</f>
        <v>0.60606060606060608</v>
      </c>
      <c r="L69" s="72">
        <f>Table1[[#This Row],[unique-opens]] / Table1[[#This Row],[unique-sends]] * 100</f>
        <v>80.606060606060609</v>
      </c>
      <c r="M69" s="73">
        <f>Table1[[#This Row],[unique-clicks]] / Table1[[#This Row],[unique-sends]] * 100</f>
        <v>9.6969696969696972</v>
      </c>
      <c r="N69" s="73">
        <f>Table1[[#This Row],[unique-clicks]] / Table1[[#This Row],[unique-opens]] * 100</f>
        <v>12.030075187969924</v>
      </c>
      <c r="O69" s="73">
        <f>(MIN(Table1[[#This Row],[unique-opens]]/Table1[[#This Row],[unique-sends]],1)*50
 + MIN(Table1[[#This Row],[unique-clicks]]/Table1[[#This Row],[unique-sends]],1)*50)
 * (1 + MIN(Table1[[#This Row],[unique-clicks]]/Table1[[#This Row],[unique-sends]],1))
 - ((Table1[[#This Row],[unsub]]/Table1[[#This Row],[unique-sends]]*100)*2)</f>
        <v>48.317722681359051</v>
      </c>
      <c r="P69" s="11" t="str">
        <f>IF(Table1[[#This Row],[Engagement Score]]&lt;30,"🔴",IF(Table1[[#This Row],[Engagement Score]]&lt;40,"🟡","🟢"))</f>
        <v>🟢</v>
      </c>
      <c r="Q69" s="14">
        <v>0</v>
      </c>
      <c r="R69" s="14">
        <v>0</v>
      </c>
      <c r="S69" s="14">
        <v>0</v>
      </c>
      <c r="T69" s="14" t="s">
        <v>24</v>
      </c>
    </row>
    <row r="70" spans="1:20" ht="32.1" customHeight="1">
      <c r="A70" s="15">
        <v>51</v>
      </c>
      <c r="B70" s="17" t="s">
        <v>45</v>
      </c>
      <c r="C70" s="65">
        <v>45870</v>
      </c>
      <c r="D70" s="80" t="s">
        <v>29</v>
      </c>
      <c r="E70" s="80" t="s">
        <v>22</v>
      </c>
      <c r="F70" s="9" t="s">
        <v>23</v>
      </c>
      <c r="G70" s="8">
        <v>106</v>
      </c>
      <c r="H70" s="8">
        <v>63</v>
      </c>
      <c r="I70" s="6">
        <v>5</v>
      </c>
      <c r="J70" s="8">
        <v>1</v>
      </c>
      <c r="K70" s="71">
        <f>(Table1[[#This Row],[unsub]]/Table1[[#This Row],[unique-sends]])*100</f>
        <v>0.94339622641509435</v>
      </c>
      <c r="L70" s="72">
        <f>Table1[[#This Row],[unique-opens]] / Table1[[#This Row],[unique-sends]] * 100</f>
        <v>59.433962264150942</v>
      </c>
      <c r="M70" s="73">
        <f>Table1[[#This Row],[unique-clicks]] / Table1[[#This Row],[unique-sends]] * 100</f>
        <v>4.716981132075472</v>
      </c>
      <c r="N70" s="73">
        <f>Table1[[#This Row],[unique-clicks]] / Table1[[#This Row],[unique-opens]] * 100</f>
        <v>7.9365079365079358</v>
      </c>
      <c r="O70" s="73">
        <f>(MIN(Table1[[#This Row],[unique-opens]]/Table1[[#This Row],[unique-sends]],1)*50
 + MIN(Table1[[#This Row],[unique-clicks]]/Table1[[#This Row],[unique-sends]],1)*50)
 * (1 + MIN(Table1[[#This Row],[unique-clicks]]/Table1[[#This Row],[unique-sends]],1))
 - ((Table1[[#This Row],[unsub]]/Table1[[#This Row],[unique-sends]]*100)*2)</f>
        <v>31.701673193307226</v>
      </c>
      <c r="P70" s="11" t="str">
        <f>IF(Table1[[#This Row],[Engagement Score]]&lt;30,"🔴",IF(Table1[[#This Row],[Engagement Score]]&lt;40,"🟡","🟢"))</f>
        <v>🟡</v>
      </c>
      <c r="Q70" s="8">
        <v>0</v>
      </c>
      <c r="R70" s="8">
        <v>0</v>
      </c>
      <c r="S70" s="8">
        <v>0</v>
      </c>
      <c r="T70" s="8" t="s">
        <v>24</v>
      </c>
    </row>
    <row r="71" spans="1:20" ht="32.1" customHeight="1">
      <c r="A71" s="15">
        <v>53</v>
      </c>
      <c r="B71" s="17" t="s">
        <v>45</v>
      </c>
      <c r="C71" s="65">
        <v>45870</v>
      </c>
      <c r="D71" s="79" t="s">
        <v>21</v>
      </c>
      <c r="E71" s="80" t="s">
        <v>22</v>
      </c>
      <c r="F71" s="9" t="s">
        <v>23</v>
      </c>
      <c r="G71" s="14">
        <v>846</v>
      </c>
      <c r="H71" s="14">
        <v>673</v>
      </c>
      <c r="I71" s="15">
        <v>64</v>
      </c>
      <c r="J71" s="14">
        <v>8</v>
      </c>
      <c r="K71" s="71">
        <f>(Table1[[#This Row],[unsub]]/Table1[[#This Row],[unique-sends]])*100</f>
        <v>0.94562647754137119</v>
      </c>
      <c r="L71" s="72">
        <f>Table1[[#This Row],[unique-opens]] / Table1[[#This Row],[unique-sends]] * 100</f>
        <v>79.550827423167846</v>
      </c>
      <c r="M71" s="73">
        <f>Table1[[#This Row],[unique-clicks]] / Table1[[#This Row],[unique-sends]] * 100</f>
        <v>7.5650118203309695</v>
      </c>
      <c r="N71" s="73">
        <f>Table1[[#This Row],[unique-clicks]] / Table1[[#This Row],[unique-opens]] * 100</f>
        <v>9.5096582466567607</v>
      </c>
      <c r="O71" s="73">
        <f>(MIN(Table1[[#This Row],[unique-opens]]/Table1[[#This Row],[unique-sends]],1)*50
 + MIN(Table1[[#This Row],[unique-clicks]]/Table1[[#This Row],[unique-sends]],1)*50)
 * (1 + MIN(Table1[[#This Row],[unique-clicks]]/Table1[[#This Row],[unique-sends]],1))
 - ((Table1[[#This Row],[unsub]]/Table1[[#This Row],[unique-sends]]*100)*2)</f>
        <v>44.961828434742273</v>
      </c>
      <c r="P71" s="11" t="str">
        <f>IF(Table1[[#This Row],[Engagement Score]]&lt;30,"🔴",IF(Table1[[#This Row],[Engagement Score]]&lt;40,"🟡","🟢"))</f>
        <v>🟢</v>
      </c>
      <c r="Q71" s="14">
        <v>0</v>
      </c>
      <c r="R71" s="14">
        <v>0</v>
      </c>
      <c r="S71" s="14">
        <v>0</v>
      </c>
      <c r="T71" s="14" t="s">
        <v>24</v>
      </c>
    </row>
    <row r="72" spans="1:20" ht="32.1" customHeight="1">
      <c r="A72" s="15">
        <v>54</v>
      </c>
      <c r="B72" s="17" t="s">
        <v>78</v>
      </c>
      <c r="C72" s="65">
        <v>45870</v>
      </c>
      <c r="D72" s="79" t="s">
        <v>21</v>
      </c>
      <c r="E72" s="80" t="s">
        <v>22</v>
      </c>
      <c r="F72" s="9" t="s">
        <v>23</v>
      </c>
      <c r="G72" s="10">
        <v>4935</v>
      </c>
      <c r="H72" s="8">
        <v>3424</v>
      </c>
      <c r="I72" s="6">
        <v>242</v>
      </c>
      <c r="J72" s="8">
        <v>17</v>
      </c>
      <c r="K72" s="71">
        <f>(Table1[[#This Row],[unsub]]/Table1[[#This Row],[unique-sends]])*100</f>
        <v>0.34447821681864232</v>
      </c>
      <c r="L72" s="72">
        <f>Table1[[#This Row],[unique-opens]] / Table1[[#This Row],[unique-sends]] * 100</f>
        <v>69.381965552178315</v>
      </c>
      <c r="M72" s="73">
        <f>Table1[[#This Row],[unique-clicks]] / Table1[[#This Row],[unique-sends]] * 100</f>
        <v>4.9037487335359673</v>
      </c>
      <c r="N72" s="73">
        <f>Table1[[#This Row],[unique-clicks]] / Table1[[#This Row],[unique-opens]] * 100</f>
        <v>7.0677570093457946</v>
      </c>
      <c r="O72" s="73">
        <f>(MIN(Table1[[#This Row],[unique-opens]]/Table1[[#This Row],[unique-sends]],1)*50
 + MIN(Table1[[#This Row],[unique-clicks]]/Table1[[#This Row],[unique-sends]],1)*50)
 * (1 + MIN(Table1[[#This Row],[unique-clicks]]/Table1[[#This Row],[unique-sends]],1))
 - ((Table1[[#This Row],[unsub]]/Table1[[#This Row],[unique-sends]]*100)*2)</f>
        <v>38.275293095961779</v>
      </c>
      <c r="P72" s="11" t="str">
        <f>IF(Table1[[#This Row],[Engagement Score]]&lt;30,"🔴",IF(Table1[[#This Row],[Engagement Score]]&lt;40,"🟡","🟢"))</f>
        <v>🟡</v>
      </c>
      <c r="Q72" s="8">
        <v>0</v>
      </c>
      <c r="R72" s="8">
        <v>0</v>
      </c>
      <c r="S72" s="8">
        <v>0</v>
      </c>
      <c r="T72" s="8" t="s">
        <v>24</v>
      </c>
    </row>
    <row r="73" spans="1:20" ht="32.1" customHeight="1">
      <c r="A73" s="15">
        <v>55</v>
      </c>
      <c r="B73" s="17" t="s">
        <v>78</v>
      </c>
      <c r="C73" s="65">
        <v>45870</v>
      </c>
      <c r="D73" s="80" t="s">
        <v>29</v>
      </c>
      <c r="E73" s="80" t="s">
        <v>22</v>
      </c>
      <c r="F73" s="9" t="s">
        <v>23</v>
      </c>
      <c r="G73" s="14">
        <v>254</v>
      </c>
      <c r="H73" s="14">
        <v>114</v>
      </c>
      <c r="I73" s="15">
        <v>12</v>
      </c>
      <c r="J73" s="14">
        <v>1</v>
      </c>
      <c r="K73" s="71">
        <f>(Table1[[#This Row],[unsub]]/Table1[[#This Row],[unique-sends]])*100</f>
        <v>0.39370078740157477</v>
      </c>
      <c r="L73" s="72">
        <f>Table1[[#This Row],[unique-opens]] / Table1[[#This Row],[unique-sends]] * 100</f>
        <v>44.881889763779526</v>
      </c>
      <c r="M73" s="73">
        <f>Table1[[#This Row],[unique-clicks]] / Table1[[#This Row],[unique-sends]] * 100</f>
        <v>4.7244094488188972</v>
      </c>
      <c r="N73" s="73">
        <f>Table1[[#This Row],[unique-clicks]] / Table1[[#This Row],[unique-opens]] * 100</f>
        <v>10.526315789473683</v>
      </c>
      <c r="O73" s="73">
        <f>(MIN(Table1[[#This Row],[unique-opens]]/Table1[[#This Row],[unique-sends]],1)*50
 + MIN(Table1[[#This Row],[unique-clicks]]/Table1[[#This Row],[unique-sends]],1)*50)
 * (1 + MIN(Table1[[#This Row],[unique-clicks]]/Table1[[#This Row],[unique-sends]],1))
 - ((Table1[[#This Row],[unsub]]/Table1[[#This Row],[unique-sends]]*100)*2)</f>
        <v>25.187550375100749</v>
      </c>
      <c r="P73" s="11" t="str">
        <f>IF(Table1[[#This Row],[Engagement Score]]&lt;30,"🔴",IF(Table1[[#This Row],[Engagement Score]]&lt;40,"🟡","🟢"))</f>
        <v>🔴</v>
      </c>
      <c r="Q73" s="14">
        <v>0</v>
      </c>
      <c r="R73" s="14">
        <v>0</v>
      </c>
      <c r="S73" s="14">
        <v>0</v>
      </c>
      <c r="T73" s="14" t="s">
        <v>24</v>
      </c>
    </row>
    <row r="74" spans="1:20" ht="32.1" customHeight="1">
      <c r="A74" s="15">
        <v>61</v>
      </c>
      <c r="B74" s="17" t="s">
        <v>79</v>
      </c>
      <c r="C74" s="65">
        <v>45870</v>
      </c>
      <c r="D74" s="79" t="s">
        <v>21</v>
      </c>
      <c r="E74" s="80" t="s">
        <v>22</v>
      </c>
      <c r="F74" s="9" t="s">
        <v>27</v>
      </c>
      <c r="G74" s="16">
        <v>2677</v>
      </c>
      <c r="H74" s="14">
        <v>418</v>
      </c>
      <c r="I74" s="15">
        <v>24</v>
      </c>
      <c r="J74" s="8">
        <v>0</v>
      </c>
      <c r="K74" s="71">
        <f>(Table1[[#This Row],[unsub]]/Table1[[#This Row],[unique-sends]])*100</f>
        <v>0</v>
      </c>
      <c r="L74" s="72">
        <f>Table1[[#This Row],[unique-opens]] / Table1[[#This Row],[unique-sends]] * 100</f>
        <v>15.61449383638401</v>
      </c>
      <c r="M74" s="73">
        <f>Table1[[#This Row],[unique-clicks]] / Table1[[#This Row],[unique-sends]] * 100</f>
        <v>0.89652596189764666</v>
      </c>
      <c r="N74" s="73">
        <f>Table1[[#This Row],[unique-clicks]] / Table1[[#This Row],[unique-opens]] * 100</f>
        <v>5.741626794258373</v>
      </c>
      <c r="O74" s="73">
        <f>(MIN(Table1[[#This Row],[unique-opens]]/Table1[[#This Row],[unique-sends]],1)*50
 + MIN(Table1[[#This Row],[unique-clicks]]/Table1[[#This Row],[unique-sends]],1)*50)
 * (1 + MIN(Table1[[#This Row],[unique-clicks]]/Table1[[#This Row],[unique-sends]],1))
 - ((Table1[[#This Row],[unsub]]/Table1[[#This Row],[unique-sends]]*100)*2)</f>
        <v>8.3295226886736575</v>
      </c>
      <c r="P74" s="11" t="str">
        <f>IF(Table1[[#This Row],[Engagement Score]]&lt;30,"🔴",IF(Table1[[#This Row],[Engagement Score]]&lt;40,"🟡","🟢"))</f>
        <v>🔴</v>
      </c>
      <c r="Q74" s="14">
        <v>68.5</v>
      </c>
      <c r="R74" s="14">
        <v>17.2</v>
      </c>
      <c r="S74" s="14">
        <v>14.3</v>
      </c>
      <c r="T74" s="18" t="s">
        <v>80</v>
      </c>
    </row>
    <row r="75" spans="1:20" ht="32.1" customHeight="1">
      <c r="A75" s="15">
        <v>61</v>
      </c>
      <c r="B75" s="17" t="s">
        <v>81</v>
      </c>
      <c r="C75" s="65">
        <v>45870</v>
      </c>
      <c r="D75" s="80" t="s">
        <v>21</v>
      </c>
      <c r="E75" s="80" t="s">
        <v>22</v>
      </c>
      <c r="F75" s="9" t="s">
        <v>27</v>
      </c>
      <c r="G75" s="16">
        <v>14113</v>
      </c>
      <c r="H75" s="14">
        <v>2099</v>
      </c>
      <c r="I75" s="15">
        <v>104</v>
      </c>
      <c r="J75" s="8">
        <v>0</v>
      </c>
      <c r="K75" s="71">
        <f>(Table1[[#This Row],[unsub]]/Table1[[#This Row],[unique-sends]])*100</f>
        <v>0</v>
      </c>
      <c r="L75" s="72">
        <f>Table1[[#This Row],[unique-opens]] / Table1[[#This Row],[unique-sends]] * 100</f>
        <v>14.872812300715651</v>
      </c>
      <c r="M75" s="73">
        <f>Table1[[#This Row],[unique-clicks]] / Table1[[#This Row],[unique-sends]] * 100</f>
        <v>0.73690923262240482</v>
      </c>
      <c r="N75" s="73">
        <f>Table1[[#This Row],[unique-clicks]] / Table1[[#This Row],[unique-opens]] * 100</f>
        <v>4.9547403525488329</v>
      </c>
      <c r="O75" s="73">
        <f>(MIN(Table1[[#This Row],[unique-opens]]/Table1[[#This Row],[unique-sends]],1)*50
 + MIN(Table1[[#This Row],[unique-clicks]]/Table1[[#This Row],[unique-sends]],1)*50)
 * (1 + MIN(Table1[[#This Row],[unique-clicks]]/Table1[[#This Row],[unique-sends]],1))
 - ((Table1[[#This Row],[unsub]]/Table1[[#This Row],[unique-sends]]*100)*2)</f>
        <v>7.8623755062519356</v>
      </c>
      <c r="P75" s="11" t="str">
        <f>IF(Table1[[#This Row],[Engagement Score]]&lt;30,"🔴",IF(Table1[[#This Row],[Engagement Score]]&lt;40,"🟡","🟢"))</f>
        <v>🔴</v>
      </c>
      <c r="Q75" s="14">
        <v>68.5</v>
      </c>
      <c r="R75" s="14">
        <v>17.2</v>
      </c>
      <c r="S75" s="14">
        <v>14.3</v>
      </c>
      <c r="T75" s="18" t="s">
        <v>80</v>
      </c>
    </row>
    <row r="76" spans="1:20" ht="32.1" customHeight="1">
      <c r="A76" s="15">
        <v>61</v>
      </c>
      <c r="B76" s="17" t="s">
        <v>82</v>
      </c>
      <c r="C76" s="65">
        <v>45870</v>
      </c>
      <c r="D76" s="79" t="s">
        <v>21</v>
      </c>
      <c r="E76" s="80" t="s">
        <v>22</v>
      </c>
      <c r="F76" s="9" t="s">
        <v>27</v>
      </c>
      <c r="G76" s="16">
        <v>71201</v>
      </c>
      <c r="H76" s="14">
        <v>10641</v>
      </c>
      <c r="I76" s="15">
        <v>488</v>
      </c>
      <c r="J76" s="8">
        <v>0</v>
      </c>
      <c r="K76" s="71">
        <f>(Table1[[#This Row],[unsub]]/Table1[[#This Row],[unique-sends]])*100</f>
        <v>0</v>
      </c>
      <c r="L76" s="72">
        <f>Table1[[#This Row],[unique-opens]] / Table1[[#This Row],[unique-sends]] * 100</f>
        <v>14.945014817207625</v>
      </c>
      <c r="M76" s="73">
        <f>Table1[[#This Row],[unique-clicks]] / Table1[[#This Row],[unique-sends]] * 100</f>
        <v>0.68538363225235599</v>
      </c>
      <c r="N76" s="73">
        <f>Table1[[#This Row],[unique-clicks]] / Table1[[#This Row],[unique-opens]] * 100</f>
        <v>4.5860351470726437</v>
      </c>
      <c r="O76" s="73">
        <f>(MIN(Table1[[#This Row],[unique-opens]]/Table1[[#This Row],[unique-sends]],1)*50
 + MIN(Table1[[#This Row],[unique-clicks]]/Table1[[#This Row],[unique-sends]],1)*50)
 * (1 + MIN(Table1[[#This Row],[unique-clicks]]/Table1[[#This Row],[unique-sends]],1))
 - ((Table1[[#This Row],[unsub]]/Table1[[#This Row],[unique-sends]]*100)*2)</f>
        <v>7.8687633210442014</v>
      </c>
      <c r="P76" s="11" t="str">
        <f>IF(Table1[[#This Row],[Engagement Score]]&lt;30,"🔴",IF(Table1[[#This Row],[Engagement Score]]&lt;40,"🟡","🟢"))</f>
        <v>🔴</v>
      </c>
      <c r="Q76" s="14">
        <v>68.5</v>
      </c>
      <c r="R76" s="14">
        <v>17.2</v>
      </c>
      <c r="S76" s="14">
        <v>14.3</v>
      </c>
      <c r="T76" s="18" t="s">
        <v>80</v>
      </c>
    </row>
    <row r="77" spans="1:20" ht="32.1" customHeight="1">
      <c r="A77" s="15">
        <v>30</v>
      </c>
      <c r="B77" s="17" t="s">
        <v>83</v>
      </c>
      <c r="C77" s="65">
        <v>45874</v>
      </c>
      <c r="D77" s="80" t="s">
        <v>21</v>
      </c>
      <c r="E77" s="80" t="s">
        <v>26</v>
      </c>
      <c r="F77" s="9" t="s">
        <v>27</v>
      </c>
      <c r="G77" s="16">
        <v>7879</v>
      </c>
      <c r="H77" s="14">
        <v>5042</v>
      </c>
      <c r="I77" s="15">
        <v>361</v>
      </c>
      <c r="J77" s="8">
        <v>24</v>
      </c>
      <c r="K77" s="71">
        <f>(Table1[[#This Row],[unsub]]/Table1[[#This Row],[unique-sends]])*100</f>
        <v>0.3046071836527478</v>
      </c>
      <c r="L77" s="72">
        <f>Table1[[#This Row],[unique-opens]] / Table1[[#This Row],[unique-sends]] * 100</f>
        <v>63.992892499048104</v>
      </c>
      <c r="M77" s="73">
        <f>Table1[[#This Row],[unique-clicks]] / Table1[[#This Row],[unique-sends]] * 100</f>
        <v>4.5817997207767487</v>
      </c>
      <c r="N77" s="73">
        <f>Table1[[#This Row],[unique-clicks]] / Table1[[#This Row],[unique-opens]] * 100</f>
        <v>7.1598571995239988</v>
      </c>
      <c r="O77" s="73">
        <f>(MIN(Table1[[#This Row],[unique-opens]]/Table1[[#This Row],[unique-sends]],1)*50
 + MIN(Table1[[#This Row],[unique-clicks]]/Table1[[#This Row],[unique-sends]],1)*50)
 * (1 + MIN(Table1[[#This Row],[unique-clicks]]/Table1[[#This Row],[unique-sends]],1))
 - ((Table1[[#This Row],[unsub]]/Table1[[#This Row],[unique-sends]]*100)*2)</f>
        <v>35.249109270932657</v>
      </c>
      <c r="P77" s="11" t="str">
        <f>IF(Table1[[#This Row],[Engagement Score]]&lt;30,"🔴",IF(Table1[[#This Row],[Engagement Score]]&lt;40,"🟡","🟢"))</f>
        <v>🟡</v>
      </c>
      <c r="Q77" s="14">
        <v>63.6</v>
      </c>
      <c r="R77" s="14">
        <v>21.4</v>
      </c>
      <c r="S77" s="14">
        <v>15</v>
      </c>
      <c r="T77" s="18" t="s">
        <v>84</v>
      </c>
    </row>
    <row r="78" spans="1:20" ht="32.1" customHeight="1">
      <c r="A78" s="15">
        <v>30</v>
      </c>
      <c r="B78" s="17" t="s">
        <v>83</v>
      </c>
      <c r="C78" s="65">
        <v>45874</v>
      </c>
      <c r="D78" s="79" t="s">
        <v>29</v>
      </c>
      <c r="E78" s="80" t="s">
        <v>26</v>
      </c>
      <c r="F78" s="9" t="s">
        <v>27</v>
      </c>
      <c r="G78" s="8">
        <v>733</v>
      </c>
      <c r="H78" s="8">
        <v>501</v>
      </c>
      <c r="I78" s="6">
        <v>33</v>
      </c>
      <c r="J78" s="8">
        <v>0</v>
      </c>
      <c r="K78" s="71">
        <f>(Table1[[#This Row],[unsub]]/Table1[[#This Row],[unique-sends]])*100</f>
        <v>0</v>
      </c>
      <c r="L78" s="72">
        <f>Table1[[#This Row],[unique-opens]] / Table1[[#This Row],[unique-sends]] * 100</f>
        <v>68.349249658935889</v>
      </c>
      <c r="M78" s="73">
        <f>Table1[[#This Row],[unique-clicks]] / Table1[[#This Row],[unique-sends]] * 100</f>
        <v>4.5020463847203276</v>
      </c>
      <c r="N78" s="73">
        <f>Table1[[#This Row],[unique-clicks]] / Table1[[#This Row],[unique-opens]] * 100</f>
        <v>6.5868263473053901</v>
      </c>
      <c r="O78" s="73">
        <f>(MIN(Table1[[#This Row],[unique-opens]]/Table1[[#This Row],[unique-sends]],1)*50
 + MIN(Table1[[#This Row],[unique-clicks]]/Table1[[#This Row],[unique-sends]],1)*50)
 * (1 + MIN(Table1[[#This Row],[unique-clicks]]/Table1[[#This Row],[unique-sends]],1))
 - ((Table1[[#This Row],[unsub]]/Table1[[#This Row],[unique-sends]]*100)*2)</f>
        <v>38.06554759170578</v>
      </c>
      <c r="P78" s="11" t="str">
        <f>IF(Table1[[#This Row],[Engagement Score]]&lt;30,"🔴",IF(Table1[[#This Row],[Engagement Score]]&lt;40,"🟡","🟢"))</f>
        <v>🟡</v>
      </c>
      <c r="Q78" s="8">
        <v>52.5</v>
      </c>
      <c r="R78" s="8">
        <v>25.9</v>
      </c>
      <c r="S78" s="8">
        <v>21.6</v>
      </c>
      <c r="T78" s="18" t="s">
        <v>85</v>
      </c>
    </row>
    <row r="79" spans="1:20" ht="32.1" customHeight="1">
      <c r="A79" s="15">
        <v>31</v>
      </c>
      <c r="B79" s="17" t="s">
        <v>86</v>
      </c>
      <c r="C79" s="65">
        <v>45874</v>
      </c>
      <c r="D79" s="79" t="s">
        <v>21</v>
      </c>
      <c r="E79" s="80" t="s">
        <v>26</v>
      </c>
      <c r="F79" s="9" t="s">
        <v>27</v>
      </c>
      <c r="G79" s="10">
        <v>8728</v>
      </c>
      <c r="H79" s="8">
        <v>4493</v>
      </c>
      <c r="I79" s="6">
        <v>148</v>
      </c>
      <c r="J79" s="8">
        <v>25</v>
      </c>
      <c r="K79" s="71">
        <f>(Table1[[#This Row],[unsub]]/Table1[[#This Row],[unique-sends]])*100</f>
        <v>0.28643446379468379</v>
      </c>
      <c r="L79" s="72">
        <f>Table1[[#This Row],[unique-opens]] / Table1[[#This Row],[unique-sends]] * 100</f>
        <v>51.478001833180564</v>
      </c>
      <c r="M79" s="73">
        <f>Table1[[#This Row],[unique-clicks]] / Table1[[#This Row],[unique-sends]] * 100</f>
        <v>1.6956920256645278</v>
      </c>
      <c r="N79" s="73">
        <f>Table1[[#This Row],[unique-clicks]] / Table1[[#This Row],[unique-opens]] * 100</f>
        <v>3.2940129089695085</v>
      </c>
      <c r="O79" s="73">
        <f>(MIN(Table1[[#This Row],[unique-opens]]/Table1[[#This Row],[unique-sends]],1)*50
 + MIN(Table1[[#This Row],[unique-clicks]]/Table1[[#This Row],[unique-sends]],1)*50)
 * (1 + MIN(Table1[[#This Row],[unique-clicks]]/Table1[[#This Row],[unique-sends]],1))
 - ((Table1[[#This Row],[unsub]]/Table1[[#This Row],[unique-sends]]*100)*2)</f>
        <v>26.46480904509103</v>
      </c>
      <c r="P79" s="11" t="str">
        <f>IF(Table1[[#This Row],[Engagement Score]]&lt;30,"🔴",IF(Table1[[#This Row],[Engagement Score]]&lt;40,"🟡","🟢"))</f>
        <v>🔴</v>
      </c>
      <c r="Q79" s="8">
        <v>0</v>
      </c>
      <c r="R79" s="8">
        <v>0</v>
      </c>
      <c r="S79" s="8">
        <v>0</v>
      </c>
      <c r="T79" s="18" t="s">
        <v>87</v>
      </c>
    </row>
    <row r="80" spans="1:20" ht="32.1" customHeight="1">
      <c r="A80" s="15">
        <v>31</v>
      </c>
      <c r="B80" s="17" t="s">
        <v>86</v>
      </c>
      <c r="C80" s="65">
        <v>45874</v>
      </c>
      <c r="D80" s="79" t="s">
        <v>29</v>
      </c>
      <c r="E80" s="80" t="s">
        <v>26</v>
      </c>
      <c r="F80" s="9" t="s">
        <v>27</v>
      </c>
      <c r="G80" s="8">
        <v>392</v>
      </c>
      <c r="H80" s="8">
        <v>215</v>
      </c>
      <c r="I80" s="6">
        <v>11</v>
      </c>
      <c r="J80" s="8">
        <v>0</v>
      </c>
      <c r="K80" s="71">
        <f>(Table1[[#This Row],[unsub]]/Table1[[#This Row],[unique-sends]])*100</f>
        <v>0</v>
      </c>
      <c r="L80" s="72">
        <f>Table1[[#This Row],[unique-opens]] / Table1[[#This Row],[unique-sends]] * 100</f>
        <v>54.846938775510203</v>
      </c>
      <c r="M80" s="73">
        <f>Table1[[#This Row],[unique-clicks]] / Table1[[#This Row],[unique-sends]] * 100</f>
        <v>2.806122448979592</v>
      </c>
      <c r="N80" s="73">
        <f>Table1[[#This Row],[unique-clicks]] / Table1[[#This Row],[unique-opens]] * 100</f>
        <v>5.1162790697674421</v>
      </c>
      <c r="O80" s="73">
        <f>(MIN(Table1[[#This Row],[unique-opens]]/Table1[[#This Row],[unique-sends]],1)*50
 + MIN(Table1[[#This Row],[unique-clicks]]/Table1[[#This Row],[unique-sends]],1)*50)
 * (1 + MIN(Table1[[#This Row],[unique-clicks]]/Table1[[#This Row],[unique-sends]],1))
 - ((Table1[[#This Row],[unsub]]/Table1[[#This Row],[unique-sends]]*100)*2)</f>
        <v>29.63543835901708</v>
      </c>
      <c r="P80" s="11" t="str">
        <f>IF(Table1[[#This Row],[Engagement Score]]&lt;30,"🔴",IF(Table1[[#This Row],[Engagement Score]]&lt;40,"🟡","🟢"))</f>
        <v>🔴</v>
      </c>
      <c r="Q80" s="14">
        <v>50</v>
      </c>
      <c r="R80" s="14">
        <v>25</v>
      </c>
      <c r="S80" s="14">
        <v>25</v>
      </c>
      <c r="T80" s="18" t="s">
        <v>88</v>
      </c>
    </row>
    <row r="81" spans="1:20" ht="32.1" customHeight="1">
      <c r="A81" s="15">
        <v>30</v>
      </c>
      <c r="B81" s="17" t="s">
        <v>89</v>
      </c>
      <c r="C81" s="65">
        <v>45881</v>
      </c>
      <c r="D81" s="79" t="s">
        <v>21</v>
      </c>
      <c r="E81" s="80" t="s">
        <v>26</v>
      </c>
      <c r="F81" s="9" t="s">
        <v>27</v>
      </c>
      <c r="G81" s="16">
        <v>1737</v>
      </c>
      <c r="H81" s="14">
        <v>1214</v>
      </c>
      <c r="I81" s="15">
        <v>42</v>
      </c>
      <c r="J81" s="8">
        <v>3</v>
      </c>
      <c r="K81" s="71">
        <f>(Table1[[#This Row],[unsub]]/Table1[[#This Row],[unique-sends]])*100</f>
        <v>0.17271157167530224</v>
      </c>
      <c r="L81" s="72">
        <f>Table1[[#This Row],[unique-opens]] / Table1[[#This Row],[unique-sends]] * 100</f>
        <v>69.890616004605647</v>
      </c>
      <c r="M81" s="73">
        <f>Table1[[#This Row],[unique-clicks]] / Table1[[#This Row],[unique-sends]] * 100</f>
        <v>2.4179620034542317</v>
      </c>
      <c r="N81" s="73">
        <f>Table1[[#This Row],[unique-clicks]] / Table1[[#This Row],[unique-opens]] * 100</f>
        <v>3.4596375617792421</v>
      </c>
      <c r="O81" s="73">
        <f>(MIN(Table1[[#This Row],[unique-opens]]/Table1[[#This Row],[unique-sends]],1)*50
 + MIN(Table1[[#This Row],[unique-clicks]]/Table1[[#This Row],[unique-sends]],1)*50)
 * (1 + MIN(Table1[[#This Row],[unique-clicks]]/Table1[[#This Row],[unique-sends]],1))
 - ((Table1[[#This Row],[unsub]]/Table1[[#This Row],[unique-sends]]*100)*2)</f>
        <v>36.683062831415818</v>
      </c>
      <c r="P81" s="11" t="str">
        <f>IF(Table1[[#This Row],[Engagement Score]]&lt;30,"🔴",IF(Table1[[#This Row],[Engagement Score]]&lt;40,"🟡","🟢"))</f>
        <v>🟡</v>
      </c>
      <c r="Q81" s="14">
        <v>74.599999999999994</v>
      </c>
      <c r="R81" s="14">
        <v>15.6</v>
      </c>
      <c r="S81" s="14">
        <v>9.8000000000000007</v>
      </c>
      <c r="T81" s="20" t="s">
        <v>90</v>
      </c>
    </row>
    <row r="82" spans="1:20" ht="32.1" customHeight="1">
      <c r="A82" s="15">
        <v>31</v>
      </c>
      <c r="B82" s="17" t="s">
        <v>91</v>
      </c>
      <c r="C82" s="65">
        <v>45881</v>
      </c>
      <c r="D82" s="79" t="s">
        <v>21</v>
      </c>
      <c r="E82" s="80" t="s">
        <v>26</v>
      </c>
      <c r="F82" s="9" t="s">
        <v>27</v>
      </c>
      <c r="G82" s="16">
        <v>9326</v>
      </c>
      <c r="H82" s="14">
        <v>6331</v>
      </c>
      <c r="I82" s="15">
        <v>41</v>
      </c>
      <c r="J82" s="8">
        <v>37</v>
      </c>
      <c r="K82" s="71">
        <f>(Table1[[#This Row],[unsub]]/Table1[[#This Row],[unique-sends]])*100</f>
        <v>0.39674029594681537</v>
      </c>
      <c r="L82" s="72">
        <f>Table1[[#This Row],[unique-opens]] / Table1[[#This Row],[unique-sends]] * 100</f>
        <v>67.885481449710483</v>
      </c>
      <c r="M82" s="73">
        <f>Table1[[#This Row],[unique-clicks]] / Table1[[#This Row],[unique-sends]] * 100</f>
        <v>0.43963113875187643</v>
      </c>
      <c r="N82" s="73">
        <f>Table1[[#This Row],[unique-clicks]] / Table1[[#This Row],[unique-opens]] * 100</f>
        <v>0.64760701311009317</v>
      </c>
      <c r="O82" s="73">
        <f>(MIN(Table1[[#This Row],[unique-opens]]/Table1[[#This Row],[unique-sends]],1)*50
 + MIN(Table1[[#This Row],[unique-clicks]]/Table1[[#This Row],[unique-sends]],1)*50)
 * (1 + MIN(Table1[[#This Row],[unique-clicks]]/Table1[[#This Row],[unique-sends]],1))
 - ((Table1[[#This Row],[unsub]]/Table1[[#This Row],[unique-sends]]*100)*2)</f>
        <v>33.519264937600624</v>
      </c>
      <c r="P82" s="11" t="str">
        <f>IF(Table1[[#This Row],[Engagement Score]]&lt;30,"🔴",IF(Table1[[#This Row],[Engagement Score]]&lt;40,"🟡","🟢"))</f>
        <v>🟡</v>
      </c>
      <c r="Q82" s="14">
        <v>37.1</v>
      </c>
      <c r="R82" s="14">
        <v>38.6</v>
      </c>
      <c r="S82" s="14">
        <v>24.3</v>
      </c>
      <c r="T82" s="20" t="s">
        <v>92</v>
      </c>
    </row>
    <row r="83" spans="1:20" ht="32.1" customHeight="1">
      <c r="A83" s="15">
        <v>31</v>
      </c>
      <c r="B83" s="17" t="s">
        <v>91</v>
      </c>
      <c r="C83" s="65">
        <v>45881</v>
      </c>
      <c r="D83" s="79" t="s">
        <v>29</v>
      </c>
      <c r="E83" s="80" t="s">
        <v>26</v>
      </c>
      <c r="F83" s="9" t="s">
        <v>27</v>
      </c>
      <c r="G83" s="14">
        <v>257</v>
      </c>
      <c r="H83" s="14">
        <v>175</v>
      </c>
      <c r="I83" s="15">
        <v>5</v>
      </c>
      <c r="J83" s="8">
        <v>0</v>
      </c>
      <c r="K83" s="71">
        <f>(Table1[[#This Row],[unsub]]/Table1[[#This Row],[unique-sends]])*100</f>
        <v>0</v>
      </c>
      <c r="L83" s="72">
        <f>Table1[[#This Row],[unique-opens]] / Table1[[#This Row],[unique-sends]] * 100</f>
        <v>68.093385214007782</v>
      </c>
      <c r="M83" s="73">
        <f>Table1[[#This Row],[unique-clicks]] / Table1[[#This Row],[unique-sends]] * 100</f>
        <v>1.9455252918287937</v>
      </c>
      <c r="N83" s="73">
        <f>Table1[[#This Row],[unique-clicks]] / Table1[[#This Row],[unique-opens]] * 100</f>
        <v>2.8571428571428572</v>
      </c>
      <c r="O83" s="73">
        <f>(MIN(Table1[[#This Row],[unique-opens]]/Table1[[#This Row],[unique-sends]],1)*50
 + MIN(Table1[[#This Row],[unique-clicks]]/Table1[[#This Row],[unique-sends]],1)*50)
 * (1 + MIN(Table1[[#This Row],[unique-clicks]]/Table1[[#This Row],[unique-sends]],1))
 - ((Table1[[#This Row],[unsub]]/Table1[[#This Row],[unique-sends]]*100)*2)</f>
        <v>35.700767611924476</v>
      </c>
      <c r="P83" s="11" t="str">
        <f>IF(Table1[[#This Row],[Engagement Score]]&lt;30,"🔴",IF(Table1[[#This Row],[Engagement Score]]&lt;40,"🟡","🟢"))</f>
        <v>🟡</v>
      </c>
      <c r="Q83" s="14">
        <v>0</v>
      </c>
      <c r="R83" s="14">
        <v>0</v>
      </c>
      <c r="S83" s="14">
        <v>0</v>
      </c>
      <c r="T83" s="20" t="s">
        <v>93</v>
      </c>
    </row>
    <row r="84" spans="1:20" ht="32.1" customHeight="1">
      <c r="A84" s="15">
        <v>30</v>
      </c>
      <c r="B84" s="21" t="s">
        <v>94</v>
      </c>
      <c r="C84" s="65">
        <v>45888</v>
      </c>
      <c r="D84" s="80" t="s">
        <v>21</v>
      </c>
      <c r="E84" s="80" t="s">
        <v>26</v>
      </c>
      <c r="F84" s="9" t="s">
        <v>27</v>
      </c>
      <c r="G84" s="16">
        <v>12681</v>
      </c>
      <c r="H84" s="14">
        <v>8122</v>
      </c>
      <c r="I84" s="15">
        <v>510</v>
      </c>
      <c r="J84" s="14">
        <v>15</v>
      </c>
      <c r="K84" s="71">
        <f>(Table1[[#This Row],[unsub]]/Table1[[#This Row],[unique-sends]])*100</f>
        <v>0.11828720132481667</v>
      </c>
      <c r="L84" s="72">
        <f>Table1[[#This Row],[unique-opens]] / Table1[[#This Row],[unique-sends]] * 100</f>
        <v>64.048576610677387</v>
      </c>
      <c r="M84" s="73">
        <f>Table1[[#This Row],[unique-clicks]] / Table1[[#This Row],[unique-sends]] * 100</f>
        <v>4.0217648450437657</v>
      </c>
      <c r="N84" s="73">
        <f>Table1[[#This Row],[unique-clicks]] / Table1[[#This Row],[unique-opens]] * 100</f>
        <v>6.2792415661167196</v>
      </c>
      <c r="O84" s="73">
        <f>(MIN(Table1[[#This Row],[unique-opens]]/Table1[[#This Row],[unique-sends]],1)*50
 + MIN(Table1[[#This Row],[unique-clicks]]/Table1[[#This Row],[unique-sends]],1)*50)
 * (1 + MIN(Table1[[#This Row],[unique-clicks]]/Table1[[#This Row],[unique-sends]],1))
 - ((Table1[[#This Row],[unsub]]/Table1[[#This Row],[unique-sends]]*100)*2)</f>
        <v>35.167410856494669</v>
      </c>
      <c r="P84" s="11" t="str">
        <f>IF(Table1[[#This Row],[Engagement Score]]&lt;30,"🔴",IF(Table1[[#This Row],[Engagement Score]]&lt;40,"🟡","🟢"))</f>
        <v>🟡</v>
      </c>
      <c r="Q84" s="14">
        <v>64.400000000000006</v>
      </c>
      <c r="R84" s="14">
        <v>19.399999999999999</v>
      </c>
      <c r="S84" s="14">
        <v>11.2</v>
      </c>
      <c r="T84" s="20" t="s">
        <v>95</v>
      </c>
    </row>
    <row r="85" spans="1:20" ht="32.1" customHeight="1">
      <c r="A85" s="15">
        <v>30</v>
      </c>
      <c r="B85" s="21" t="s">
        <v>94</v>
      </c>
      <c r="C85" s="65">
        <v>45888</v>
      </c>
      <c r="D85" s="80" t="s">
        <v>29</v>
      </c>
      <c r="E85" s="80" t="s">
        <v>26</v>
      </c>
      <c r="F85" s="9" t="s">
        <v>27</v>
      </c>
      <c r="G85" s="16">
        <v>1852</v>
      </c>
      <c r="H85" s="14">
        <v>1295</v>
      </c>
      <c r="I85" s="15">
        <v>98</v>
      </c>
      <c r="J85" s="14">
        <v>1</v>
      </c>
      <c r="K85" s="71">
        <f>(Table1[[#This Row],[unsub]]/Table1[[#This Row],[unique-sends]])*100</f>
        <v>5.399568034557236E-2</v>
      </c>
      <c r="L85" s="72">
        <f>Table1[[#This Row],[unique-opens]] / Table1[[#This Row],[unique-sends]] * 100</f>
        <v>69.9244060475162</v>
      </c>
      <c r="M85" s="73">
        <f>Table1[[#This Row],[unique-clicks]] / Table1[[#This Row],[unique-sends]] * 100</f>
        <v>5.291576673866091</v>
      </c>
      <c r="N85" s="73">
        <f>Table1[[#This Row],[unique-clicks]] / Table1[[#This Row],[unique-opens]] * 100</f>
        <v>7.5675675675675684</v>
      </c>
      <c r="O85" s="73">
        <f>(MIN(Table1[[#This Row],[unique-opens]]/Table1[[#This Row],[unique-sends]],1)*50
 + MIN(Table1[[#This Row],[unique-clicks]]/Table1[[#This Row],[unique-sends]],1)*50)
 * (1 + MIN(Table1[[#This Row],[unique-clicks]]/Table1[[#This Row],[unique-sends]],1))
 - ((Table1[[#This Row],[unsub]]/Table1[[#This Row],[unique-sends]]*100)*2)</f>
        <v>39.490055698351902</v>
      </c>
      <c r="P85" s="11" t="str">
        <f>IF(Table1[[#This Row],[Engagement Score]]&lt;30,"🔴",IF(Table1[[#This Row],[Engagement Score]]&lt;40,"🟡","🟢"))</f>
        <v>🟡</v>
      </c>
      <c r="Q85" s="14">
        <v>68.2</v>
      </c>
      <c r="R85" s="14">
        <v>17.600000000000001</v>
      </c>
      <c r="S85" s="14">
        <v>14.2</v>
      </c>
      <c r="T85" s="20" t="s">
        <v>96</v>
      </c>
    </row>
    <row r="86" spans="1:20" ht="32.1" customHeight="1">
      <c r="A86" s="15">
        <v>78</v>
      </c>
      <c r="B86" s="17" t="s">
        <v>97</v>
      </c>
      <c r="C86" s="65">
        <v>45891</v>
      </c>
      <c r="D86" s="79" t="s">
        <v>21</v>
      </c>
      <c r="E86" s="80" t="s">
        <v>98</v>
      </c>
      <c r="F86" s="9" t="s">
        <v>27</v>
      </c>
      <c r="G86" s="10">
        <v>19741</v>
      </c>
      <c r="H86" s="8">
        <v>11173</v>
      </c>
      <c r="I86" s="6">
        <v>430</v>
      </c>
      <c r="J86" s="8">
        <v>6</v>
      </c>
      <c r="K86" s="71">
        <f>(Table1[[#This Row],[unsub]]/Table1[[#This Row],[unique-sends]])*100</f>
        <v>3.0393597082214681E-2</v>
      </c>
      <c r="L86" s="72">
        <f>Table1[[#This Row],[unique-opens]] / Table1[[#This Row],[unique-sends]] * 100</f>
        <v>56.597943366597434</v>
      </c>
      <c r="M86" s="73">
        <f>Table1[[#This Row],[unique-clicks]] / Table1[[#This Row],[unique-sends]] * 100</f>
        <v>2.1782077908920519</v>
      </c>
      <c r="N86" s="73">
        <f>Table1[[#This Row],[unique-clicks]] / Table1[[#This Row],[unique-opens]] * 100</f>
        <v>3.8485635012977712</v>
      </c>
      <c r="O86" s="73">
        <f>(MIN(Table1[[#This Row],[unique-opens]]/Table1[[#This Row],[unique-sends]],1)*50
 + MIN(Table1[[#This Row],[unique-clicks]]/Table1[[#This Row],[unique-sends]],1)*50)
 * (1 + MIN(Table1[[#This Row],[unique-clicks]]/Table1[[#This Row],[unique-sends]],1))
 - ((Table1[[#This Row],[unsub]]/Table1[[#This Row],[unique-sends]]*100)*2)</f>
        <v>29.967421736429777</v>
      </c>
      <c r="P86" s="11" t="str">
        <f>IF(Table1[[#This Row],[Engagement Score]]&lt;30,"🔴",IF(Table1[[#This Row],[Engagement Score]]&lt;40,"🟡","🟢"))</f>
        <v>🔴</v>
      </c>
      <c r="Q86" s="8">
        <v>67.099999999999994</v>
      </c>
      <c r="R86" s="8">
        <v>16.8</v>
      </c>
      <c r="S86" s="8">
        <v>16.2</v>
      </c>
      <c r="T86" s="18" t="s">
        <v>99</v>
      </c>
    </row>
    <row r="87" spans="1:20" ht="32.1" customHeight="1">
      <c r="A87" s="15">
        <v>30</v>
      </c>
      <c r="B87" s="17" t="s">
        <v>100</v>
      </c>
      <c r="C87" s="65">
        <v>45895</v>
      </c>
      <c r="D87" s="79" t="s">
        <v>21</v>
      </c>
      <c r="E87" s="80" t="s">
        <v>26</v>
      </c>
      <c r="F87" s="9" t="s">
        <v>27</v>
      </c>
      <c r="G87" s="10">
        <v>7728</v>
      </c>
      <c r="H87" s="8">
        <v>4730</v>
      </c>
      <c r="I87" s="6">
        <v>305</v>
      </c>
      <c r="J87" s="8">
        <v>11</v>
      </c>
      <c r="K87" s="71">
        <f>(Table1[[#This Row],[unsub]]/Table1[[#This Row],[unique-sends]])*100</f>
        <v>0.14233954451345754</v>
      </c>
      <c r="L87" s="72">
        <f>Table1[[#This Row],[unique-opens]] / Table1[[#This Row],[unique-sends]] * 100</f>
        <v>61.206004140786753</v>
      </c>
      <c r="M87" s="73">
        <f>Table1[[#This Row],[unique-clicks]] / Table1[[#This Row],[unique-sends]] * 100</f>
        <v>3.9466873706004142</v>
      </c>
      <c r="N87" s="73">
        <f>Table1[[#This Row],[unique-clicks]] / Table1[[#This Row],[unique-opens]] * 100</f>
        <v>6.4482029598308666</v>
      </c>
      <c r="O87" s="73">
        <f>(MIN(Table1[[#This Row],[unique-opens]]/Table1[[#This Row],[unique-sends]],1)*50
 + MIN(Table1[[#This Row],[unique-clicks]]/Table1[[#This Row],[unique-sends]],1)*50)
 * (1 + MIN(Table1[[#This Row],[unique-clicks]]/Table1[[#This Row],[unique-sends]],1))
 - ((Table1[[#This Row],[unsub]]/Table1[[#This Row],[unique-sends]]*100)*2)</f>
        <v>33.577353190409752</v>
      </c>
      <c r="P87" s="11" t="str">
        <f>IF(Table1[[#This Row],[Engagement Score]]&lt;30,"🔴",IF(Table1[[#This Row],[Engagement Score]]&lt;40,"🟡","🟢"))</f>
        <v>🟡</v>
      </c>
      <c r="Q87" s="8">
        <v>63.6</v>
      </c>
      <c r="R87" s="8">
        <v>21.4</v>
      </c>
      <c r="S87" s="8">
        <v>15</v>
      </c>
      <c r="T87" s="18" t="s">
        <v>84</v>
      </c>
    </row>
    <row r="88" spans="1:20" ht="32.1" customHeight="1">
      <c r="A88" s="15">
        <v>30</v>
      </c>
      <c r="B88" s="17" t="s">
        <v>100</v>
      </c>
      <c r="C88" s="65">
        <v>45895</v>
      </c>
      <c r="D88" s="79" t="s">
        <v>29</v>
      </c>
      <c r="E88" s="80" t="s">
        <v>26</v>
      </c>
      <c r="F88" s="9" t="s">
        <v>27</v>
      </c>
      <c r="G88" s="14">
        <v>720</v>
      </c>
      <c r="H88" s="23">
        <v>469</v>
      </c>
      <c r="I88" s="23">
        <v>36</v>
      </c>
      <c r="J88" s="14">
        <v>0</v>
      </c>
      <c r="K88" s="71">
        <f>(Table1[[#This Row],[unsub]]/Table1[[#This Row],[unique-sends]])*100</f>
        <v>0</v>
      </c>
      <c r="L88" s="72">
        <f>Table1[[#This Row],[unique-opens]] / Table1[[#This Row],[unique-sends]] * 100</f>
        <v>65.138888888888886</v>
      </c>
      <c r="M88" s="73">
        <f>Table1[[#This Row],[unique-clicks]] / Table1[[#This Row],[unique-sends]] * 100</f>
        <v>5</v>
      </c>
      <c r="N88" s="73">
        <f>Table1[[#This Row],[unique-clicks]] / Table1[[#This Row],[unique-opens]] * 100</f>
        <v>7.6759061833688706</v>
      </c>
      <c r="O88" s="73">
        <f>(MIN(Table1[[#This Row],[unique-opens]]/Table1[[#This Row],[unique-sends]],1)*50
 + MIN(Table1[[#This Row],[unique-clicks]]/Table1[[#This Row],[unique-sends]],1)*50)
 * (1 + MIN(Table1[[#This Row],[unique-clicks]]/Table1[[#This Row],[unique-sends]],1))
 - ((Table1[[#This Row],[unsub]]/Table1[[#This Row],[unique-sends]]*100)*2)</f>
        <v>36.822916666666664</v>
      </c>
      <c r="P88" s="11" t="str">
        <f>IF(Table1[[#This Row],[Engagement Score]]&lt;30,"🔴",IF(Table1[[#This Row],[Engagement Score]]&lt;40,"🟡","🟢"))</f>
        <v>🟡</v>
      </c>
      <c r="Q88" s="8">
        <v>52.5</v>
      </c>
      <c r="R88" s="8">
        <v>25.9</v>
      </c>
      <c r="S88" s="8">
        <v>1.6</v>
      </c>
      <c r="T88" s="18" t="s">
        <v>85</v>
      </c>
    </row>
    <row r="89" spans="1:20" ht="32.1" customHeight="1">
      <c r="A89" s="15">
        <v>31</v>
      </c>
      <c r="B89" s="17" t="s">
        <v>101</v>
      </c>
      <c r="C89" s="65">
        <v>45895</v>
      </c>
      <c r="D89" s="79" t="s">
        <v>21</v>
      </c>
      <c r="E89" s="80" t="s">
        <v>26</v>
      </c>
      <c r="F89" s="9" t="s">
        <v>27</v>
      </c>
      <c r="G89" s="16">
        <v>5041</v>
      </c>
      <c r="H89" s="23">
        <v>3277</v>
      </c>
      <c r="I89" s="23">
        <v>66</v>
      </c>
      <c r="J89" s="14">
        <v>10</v>
      </c>
      <c r="K89" s="71">
        <f>(Table1[[#This Row],[unsub]]/Table1[[#This Row],[unique-sends]])*100</f>
        <v>0.19837333862328904</v>
      </c>
      <c r="L89" s="72">
        <f>Table1[[#This Row],[unique-opens]] / Table1[[#This Row],[unique-sends]] * 100</f>
        <v>65.006943066851818</v>
      </c>
      <c r="M89" s="73">
        <f>Table1[[#This Row],[unique-clicks]] / Table1[[#This Row],[unique-sends]] * 100</f>
        <v>1.3092640349137077</v>
      </c>
      <c r="N89" s="73">
        <f>Table1[[#This Row],[unique-clicks]] / Table1[[#This Row],[unique-opens]] * 100</f>
        <v>2.0140372291730242</v>
      </c>
      <c r="O89" s="73">
        <f>(MIN(Table1[[#This Row],[unique-opens]]/Table1[[#This Row],[unique-sends]],1)*50
 + MIN(Table1[[#This Row],[unique-clicks]]/Table1[[#This Row],[unique-sends]],1)*50)
 * (1 + MIN(Table1[[#This Row],[unique-clicks]]/Table1[[#This Row],[unique-sends]],1))
 - ((Table1[[#This Row],[unsub]]/Table1[[#This Row],[unique-sends]]*100)*2)</f>
        <v>33.195483998087347</v>
      </c>
      <c r="P89" s="11" t="str">
        <f>IF(Table1[[#This Row],[Engagement Score]]&lt;30,"🔴",IF(Table1[[#This Row],[Engagement Score]]&lt;40,"🟡","🟢"))</f>
        <v>🟡</v>
      </c>
      <c r="Q89" s="8">
        <v>65.7</v>
      </c>
      <c r="R89" s="8">
        <v>21.4</v>
      </c>
      <c r="S89" s="8">
        <v>129</v>
      </c>
      <c r="T89" s="18" t="s">
        <v>102</v>
      </c>
    </row>
    <row r="90" spans="1:20" ht="32.1" customHeight="1">
      <c r="A90" s="15">
        <v>5</v>
      </c>
      <c r="B90" s="21" t="s">
        <v>103</v>
      </c>
      <c r="C90" s="66">
        <v>45900</v>
      </c>
      <c r="D90" s="80" t="s">
        <v>29</v>
      </c>
      <c r="E90" s="80" t="s">
        <v>22</v>
      </c>
      <c r="F90" s="9" t="s">
        <v>27</v>
      </c>
      <c r="G90" s="16">
        <v>6485</v>
      </c>
      <c r="H90" s="14">
        <v>1360</v>
      </c>
      <c r="I90" s="15">
        <v>109</v>
      </c>
      <c r="J90" s="14">
        <v>0</v>
      </c>
      <c r="K90" s="71">
        <f>(Table1[[#This Row],[unsub]]/Table1[[#This Row],[unique-sends]])*100</f>
        <v>0</v>
      </c>
      <c r="L90" s="72">
        <f>Table1[[#This Row],[unique-opens]] / Table1[[#This Row],[unique-sends]] * 100</f>
        <v>20.971472629144177</v>
      </c>
      <c r="M90" s="73">
        <f>Table1[[#This Row],[unique-clicks]] / Table1[[#This Row],[unique-sends]] * 100</f>
        <v>1.6808018504240556</v>
      </c>
      <c r="N90" s="73">
        <f>Table1[[#This Row],[unique-clicks]] / Table1[[#This Row],[unique-opens]] * 100</f>
        <v>8.014705882352942</v>
      </c>
      <c r="O90" s="73">
        <f>(MIN(Table1[[#This Row],[unique-opens]]/Table1[[#This Row],[unique-sends]],1)*50
 + MIN(Table1[[#This Row],[unique-clicks]]/Table1[[#This Row],[unique-sends]],1)*50)
 * (1 + MIN(Table1[[#This Row],[unique-clicks]]/Table1[[#This Row],[unique-sends]],1))
 - ((Table1[[#This Row],[unsub]]/Table1[[#This Row],[unique-sends]]*100)*2)</f>
        <v>11.516507164091976</v>
      </c>
      <c r="P90" s="11" t="str">
        <f>IF(Table1[[#This Row],[Engagement Score]]&lt;30,"🔴",IF(Table1[[#This Row],[Engagement Score]]&lt;40,"🟡","🟢"))</f>
        <v>🔴</v>
      </c>
      <c r="Q90" s="8">
        <v>66.3</v>
      </c>
      <c r="R90" s="8">
        <v>16.399999999999999</v>
      </c>
      <c r="S90" s="8">
        <v>17.2</v>
      </c>
      <c r="T90" s="14" t="s">
        <v>24</v>
      </c>
    </row>
    <row r="91" spans="1:20" ht="32.1" customHeight="1">
      <c r="A91" s="15">
        <v>62</v>
      </c>
      <c r="B91" s="17" t="s">
        <v>104</v>
      </c>
      <c r="C91" s="65">
        <v>45900</v>
      </c>
      <c r="D91" s="79" t="s">
        <v>21</v>
      </c>
      <c r="E91" s="79" t="s">
        <v>22</v>
      </c>
      <c r="F91" s="9" t="s">
        <v>27</v>
      </c>
      <c r="G91" s="10">
        <v>4727</v>
      </c>
      <c r="H91" s="8">
        <v>1455</v>
      </c>
      <c r="I91" s="6">
        <v>110</v>
      </c>
      <c r="J91" s="8">
        <v>0</v>
      </c>
      <c r="K91" s="71">
        <f>(Table1[[#This Row],[unsub]]/Table1[[#This Row],[unique-sends]])*100</f>
        <v>0</v>
      </c>
      <c r="L91" s="72">
        <f>Table1[[#This Row],[unique-opens]] / Table1[[#This Row],[unique-sends]] * 100</f>
        <v>30.78062195895917</v>
      </c>
      <c r="M91" s="73">
        <f>Table1[[#This Row],[unique-clicks]] / Table1[[#This Row],[unique-sends]] * 100</f>
        <v>2.3270573302305904</v>
      </c>
      <c r="N91" s="73">
        <f>Table1[[#This Row],[unique-clicks]] / Table1[[#This Row],[unique-opens]] * 100</f>
        <v>7.5601374570446733</v>
      </c>
      <c r="O91" s="73">
        <f>(MIN(Table1[[#This Row],[unique-opens]]/Table1[[#This Row],[unique-sends]],1)*50
 + MIN(Table1[[#This Row],[unique-clicks]]/Table1[[#This Row],[unique-sends]],1)*50)
 * (1 + MIN(Table1[[#This Row],[unique-clicks]]/Table1[[#This Row],[unique-sends]],1))
 - ((Table1[[#This Row],[unsub]]/Table1[[#This Row],[unique-sends]]*100)*2)</f>
        <v>16.939056983479045</v>
      </c>
      <c r="P91" s="11" t="str">
        <f>IF(Table1[[#This Row],[Engagement Score]]&lt;30,"🔴",IF(Table1[[#This Row],[Engagement Score]]&lt;40,"🟡","🟢"))</f>
        <v>🔴</v>
      </c>
      <c r="Q91" s="8">
        <v>73.3</v>
      </c>
      <c r="R91" s="8">
        <v>15.1</v>
      </c>
      <c r="S91" s="8">
        <v>1.6</v>
      </c>
      <c r="T91" s="18" t="s">
        <v>63</v>
      </c>
    </row>
    <row r="92" spans="1:20" ht="32.1" customHeight="1">
      <c r="A92" s="15">
        <v>63</v>
      </c>
      <c r="B92" s="17" t="s">
        <v>105</v>
      </c>
      <c r="C92" s="65">
        <v>45900</v>
      </c>
      <c r="D92" s="79" t="s">
        <v>21</v>
      </c>
      <c r="E92" s="80" t="s">
        <v>22</v>
      </c>
      <c r="F92" s="9" t="s">
        <v>27</v>
      </c>
      <c r="G92" s="14">
        <v>427</v>
      </c>
      <c r="H92" s="14">
        <v>408</v>
      </c>
      <c r="I92" s="15">
        <v>23</v>
      </c>
      <c r="J92" s="14">
        <v>0</v>
      </c>
      <c r="K92" s="71">
        <f>(Table1[[#This Row],[unsub]]/Table1[[#This Row],[unique-sends]])*100</f>
        <v>0</v>
      </c>
      <c r="L92" s="72">
        <f>Table1[[#This Row],[unique-opens]] / Table1[[#This Row],[unique-sends]] * 100</f>
        <v>95.550351288056206</v>
      </c>
      <c r="M92" s="73">
        <f>Table1[[#This Row],[unique-clicks]] / Table1[[#This Row],[unique-sends]] * 100</f>
        <v>5.3864168618266977</v>
      </c>
      <c r="N92" s="73">
        <f>Table1[[#This Row],[unique-clicks]] / Table1[[#This Row],[unique-opens]] * 100</f>
        <v>5.6372549019607847</v>
      </c>
      <c r="O92" s="73">
        <f>(MIN(Table1[[#This Row],[unique-opens]]/Table1[[#This Row],[unique-sends]],1)*50
 + MIN(Table1[[#This Row],[unique-clicks]]/Table1[[#This Row],[unique-sends]],1)*50)
 * (1 + MIN(Table1[[#This Row],[unique-clicks]]/Table1[[#This Row],[unique-sends]],1))
 - ((Table1[[#This Row],[unsub]]/Table1[[#This Row],[unique-sends]]*100)*2)</f>
        <v>53.18682162464556</v>
      </c>
      <c r="P92" s="11" t="str">
        <f>IF(Table1[[#This Row],[Engagement Score]]&lt;30,"🔴",IF(Table1[[#This Row],[Engagement Score]]&lt;40,"🟡","🟢"))</f>
        <v>🟢</v>
      </c>
      <c r="Q92" s="8">
        <v>76.3</v>
      </c>
      <c r="R92" s="8">
        <v>14.8</v>
      </c>
      <c r="S92" s="8">
        <v>9</v>
      </c>
      <c r="T92" s="14" t="s">
        <v>24</v>
      </c>
    </row>
    <row r="93" spans="1:20" ht="32.1" customHeight="1">
      <c r="A93" s="24">
        <v>1</v>
      </c>
      <c r="B93" s="17" t="s">
        <v>106</v>
      </c>
      <c r="C93" s="65">
        <v>45901</v>
      </c>
      <c r="D93" s="79" t="s">
        <v>21</v>
      </c>
      <c r="E93" s="80" t="s">
        <v>22</v>
      </c>
      <c r="F93" s="9" t="s">
        <v>27</v>
      </c>
      <c r="G93" s="16">
        <v>6286</v>
      </c>
      <c r="H93" s="14">
        <v>3750</v>
      </c>
      <c r="I93" s="15">
        <v>661</v>
      </c>
      <c r="J93" s="14">
        <v>6</v>
      </c>
      <c r="K93" s="71">
        <f>(Table1[[#This Row],[unsub]]/Table1[[#This Row],[unique-sends]])*100</f>
        <v>9.5450206808781426E-2</v>
      </c>
      <c r="L93" s="72">
        <f>Table1[[#This Row],[unique-opens]] / Table1[[#This Row],[unique-sends]] * 100</f>
        <v>59.656379255488389</v>
      </c>
      <c r="M93" s="73">
        <f>Table1[[#This Row],[unique-clicks]] / Table1[[#This Row],[unique-sends]] * 100</f>
        <v>10.51543111676742</v>
      </c>
      <c r="N93" s="73">
        <f>Table1[[#This Row],[unique-clicks]] / Table1[[#This Row],[unique-opens]] * 100</f>
        <v>17.626666666666665</v>
      </c>
      <c r="O93" s="73">
        <f>(MIN(Table1[[#This Row],[unique-opens]]/Table1[[#This Row],[unique-sends]],1)*50
 + MIN(Table1[[#This Row],[unique-clicks]]/Table1[[#This Row],[unique-sends]],1)*50)
 * (1 + MIN(Table1[[#This Row],[unique-clicks]]/Table1[[#This Row],[unique-sends]],1))
 - ((Table1[[#This Row],[unsub]]/Table1[[#This Row],[unique-sends]]*100)*2)</f>
        <v>38.584438964051948</v>
      </c>
      <c r="P93" s="11" t="str">
        <f>IF(Table1[[#This Row],[Engagement Score]]&lt;30,"🔴",IF(Table1[[#This Row],[Engagement Score]]&lt;40,"🟡","🟢"))</f>
        <v>🟡</v>
      </c>
      <c r="Q93" s="8">
        <v>76.3</v>
      </c>
      <c r="R93" s="8">
        <v>14.3</v>
      </c>
      <c r="S93" s="8">
        <v>9.4</v>
      </c>
      <c r="T93" s="20" t="s">
        <v>107</v>
      </c>
    </row>
    <row r="94" spans="1:20" ht="32.1" customHeight="1">
      <c r="A94" s="24">
        <v>2</v>
      </c>
      <c r="B94" s="17" t="s">
        <v>108</v>
      </c>
      <c r="C94" s="65">
        <v>45901</v>
      </c>
      <c r="D94" s="79" t="s">
        <v>29</v>
      </c>
      <c r="E94" s="80" t="s">
        <v>22</v>
      </c>
      <c r="F94" s="9" t="s">
        <v>27</v>
      </c>
      <c r="G94" s="14">
        <v>824</v>
      </c>
      <c r="H94" s="14">
        <v>565</v>
      </c>
      <c r="I94" s="15">
        <v>98</v>
      </c>
      <c r="J94" s="14">
        <v>0</v>
      </c>
      <c r="K94" s="71">
        <f>(Table1[[#This Row],[unsub]]/Table1[[#This Row],[unique-sends]])*100</f>
        <v>0</v>
      </c>
      <c r="L94" s="72">
        <f>Table1[[#This Row],[unique-opens]] / Table1[[#This Row],[unique-sends]] * 100</f>
        <v>68.567961165048544</v>
      </c>
      <c r="M94" s="73">
        <f>Table1[[#This Row],[unique-clicks]] / Table1[[#This Row],[unique-sends]] * 100</f>
        <v>11.893203883495145</v>
      </c>
      <c r="N94" s="73">
        <f>Table1[[#This Row],[unique-clicks]] / Table1[[#This Row],[unique-opens]] * 100</f>
        <v>17.345132743362832</v>
      </c>
      <c r="O94" s="73">
        <f>(MIN(Table1[[#This Row],[unique-opens]]/Table1[[#This Row],[unique-sends]],1)*50
 + MIN(Table1[[#This Row],[unique-clicks]]/Table1[[#This Row],[unique-sends]],1)*50)
 * (1 + MIN(Table1[[#This Row],[unique-clicks]]/Table1[[#This Row],[unique-sends]],1))
 - ((Table1[[#This Row],[unsub]]/Table1[[#This Row],[unique-sends]]*100)*2)</f>
        <v>45.015287727401265</v>
      </c>
      <c r="P94" s="11" t="str">
        <f>IF(Table1[[#This Row],[Engagement Score]]&lt;30,"🔴",IF(Table1[[#This Row],[Engagement Score]]&lt;40,"🟡","🟢"))</f>
        <v>🟢</v>
      </c>
      <c r="Q94" s="8">
        <v>67.7</v>
      </c>
      <c r="R94" s="8">
        <v>15</v>
      </c>
      <c r="S94" s="8">
        <v>17.3</v>
      </c>
      <c r="T94" s="20" t="s">
        <v>109</v>
      </c>
    </row>
    <row r="95" spans="1:20" ht="32.1" customHeight="1">
      <c r="A95" s="24">
        <v>3</v>
      </c>
      <c r="B95" s="17" t="s">
        <v>110</v>
      </c>
      <c r="C95" s="65">
        <v>45901</v>
      </c>
      <c r="D95" s="79" t="s">
        <v>21</v>
      </c>
      <c r="E95" s="80" t="s">
        <v>22</v>
      </c>
      <c r="F95" s="9" t="s">
        <v>27</v>
      </c>
      <c r="G95" s="16">
        <v>8665</v>
      </c>
      <c r="H95" s="14">
        <v>4769</v>
      </c>
      <c r="I95" s="15">
        <v>402</v>
      </c>
      <c r="J95" s="14">
        <v>10</v>
      </c>
      <c r="K95" s="71">
        <f>(Table1[[#This Row],[unsub]]/Table1[[#This Row],[unique-sends]])*100</f>
        <v>0.1154068090017311</v>
      </c>
      <c r="L95" s="72">
        <f>Table1[[#This Row],[unique-opens]] / Table1[[#This Row],[unique-sends]] * 100</f>
        <v>55.037507212925561</v>
      </c>
      <c r="M95" s="73">
        <f>Table1[[#This Row],[unique-clicks]] / Table1[[#This Row],[unique-sends]] * 100</f>
        <v>4.6393537218695897</v>
      </c>
      <c r="N95" s="73">
        <f>Table1[[#This Row],[unique-clicks]] / Table1[[#This Row],[unique-opens]] * 100</f>
        <v>8.4294401342000427</v>
      </c>
      <c r="O95" s="73">
        <f>(MIN(Table1[[#This Row],[unique-opens]]/Table1[[#This Row],[unique-sends]],1)*50
 + MIN(Table1[[#This Row],[unique-clicks]]/Table1[[#This Row],[unique-sends]],1)*50)
 * (1 + MIN(Table1[[#This Row],[unique-clicks]]/Table1[[#This Row],[unique-sends]],1))
 - ((Table1[[#This Row],[unsub]]/Table1[[#This Row],[unique-sends]]*100)*2)</f>
        <v>30.991927183830793</v>
      </c>
      <c r="P95" s="11" t="str">
        <f>IF(Table1[[#This Row],[Engagement Score]]&lt;30,"🔴",IF(Table1[[#This Row],[Engagement Score]]&lt;40,"🟡","🟢"))</f>
        <v>🟡</v>
      </c>
      <c r="Q95" s="8">
        <v>75.8</v>
      </c>
      <c r="R95" s="8">
        <v>13.9</v>
      </c>
      <c r="S95" s="8">
        <v>10.3</v>
      </c>
      <c r="T95" s="20" t="s">
        <v>111</v>
      </c>
    </row>
    <row r="96" spans="1:20" ht="32.1" customHeight="1">
      <c r="A96" s="24">
        <v>4</v>
      </c>
      <c r="B96" s="17" t="s">
        <v>112</v>
      </c>
      <c r="C96" s="66">
        <v>45901</v>
      </c>
      <c r="D96" s="80" t="s">
        <v>29</v>
      </c>
      <c r="E96" s="80" t="s">
        <v>22</v>
      </c>
      <c r="F96" s="9" t="s">
        <v>27</v>
      </c>
      <c r="G96" s="16">
        <v>1207</v>
      </c>
      <c r="H96" s="14">
        <v>740</v>
      </c>
      <c r="I96" s="15">
        <v>82</v>
      </c>
      <c r="J96" s="14">
        <v>0</v>
      </c>
      <c r="K96" s="71">
        <f>(Table1[[#This Row],[unsub]]/Table1[[#This Row],[unique-sends]])*100</f>
        <v>0</v>
      </c>
      <c r="L96" s="72">
        <f>Table1[[#This Row],[unique-opens]] / Table1[[#This Row],[unique-sends]] * 100</f>
        <v>61.309030654515325</v>
      </c>
      <c r="M96" s="73">
        <f>Table1[[#This Row],[unique-clicks]] / Table1[[#This Row],[unique-sends]] * 100</f>
        <v>6.793703396851698</v>
      </c>
      <c r="N96" s="73">
        <f>Table1[[#This Row],[unique-clicks]] / Table1[[#This Row],[unique-opens]] * 100</f>
        <v>11.081081081081082</v>
      </c>
      <c r="O96" s="73">
        <f>(MIN(Table1[[#This Row],[unique-opens]]/Table1[[#This Row],[unique-sends]],1)*50
 + MIN(Table1[[#This Row],[unique-clicks]]/Table1[[#This Row],[unique-sends]],1)*50)
 * (1 + MIN(Table1[[#This Row],[unique-clicks]]/Table1[[#This Row],[unique-sends]],1))
 - ((Table1[[#This Row],[unsub]]/Table1[[#This Row],[unique-sends]]*100)*2)</f>
        <v>36.364715903981811</v>
      </c>
      <c r="P96" s="11" t="str">
        <f>IF(Table1[[#This Row],[Engagement Score]]&lt;30,"🔴",IF(Table1[[#This Row],[Engagement Score]]&lt;40,"🟡","🟢"))</f>
        <v>🟡</v>
      </c>
      <c r="Q96" s="8">
        <v>75.8</v>
      </c>
      <c r="R96" s="8">
        <v>18.899999999999999</v>
      </c>
      <c r="S96" s="8">
        <v>5.3</v>
      </c>
      <c r="T96" s="20" t="s">
        <v>113</v>
      </c>
    </row>
    <row r="97" spans="1:20" ht="32.1" customHeight="1">
      <c r="A97" s="24">
        <v>6</v>
      </c>
      <c r="B97" s="17" t="s">
        <v>114</v>
      </c>
      <c r="C97" s="65">
        <v>45901</v>
      </c>
      <c r="D97" s="79" t="s">
        <v>21</v>
      </c>
      <c r="E97" s="79" t="s">
        <v>22</v>
      </c>
      <c r="F97" s="9" t="s">
        <v>27</v>
      </c>
      <c r="G97" s="16">
        <v>2621</v>
      </c>
      <c r="H97" s="14">
        <v>1243</v>
      </c>
      <c r="I97" s="15">
        <v>178</v>
      </c>
      <c r="J97" s="14">
        <v>1</v>
      </c>
      <c r="K97" s="71">
        <f>(Table1[[#This Row],[unsub]]/Table1[[#This Row],[unique-sends]])*100</f>
        <v>3.8153376573826787E-2</v>
      </c>
      <c r="L97" s="72">
        <f>Table1[[#This Row],[unique-opens]] / Table1[[#This Row],[unique-sends]] * 100</f>
        <v>47.424647081266691</v>
      </c>
      <c r="M97" s="73">
        <f>Table1[[#This Row],[unique-clicks]] / Table1[[#This Row],[unique-sends]] * 100</f>
        <v>6.7913010301411667</v>
      </c>
      <c r="N97" s="73">
        <f>Table1[[#This Row],[unique-clicks]] / Table1[[#This Row],[unique-opens]] * 100</f>
        <v>14.320193081255027</v>
      </c>
      <c r="O97" s="73">
        <f>(MIN(Table1[[#This Row],[unique-opens]]/Table1[[#This Row],[unique-sends]],1)*50
 + MIN(Table1[[#This Row],[unique-clicks]]/Table1[[#This Row],[unique-sends]],1)*50)
 * (1 + MIN(Table1[[#This Row],[unique-clicks]]/Table1[[#This Row],[unique-sends]],1))
 - ((Table1[[#This Row],[unsub]]/Table1[[#This Row],[unique-sends]]*100)*2)</f>
        <v>28.872651423851693</v>
      </c>
      <c r="P97" s="11" t="str">
        <f>IF(Table1[[#This Row],[Engagement Score]]&lt;30,"🔴",IF(Table1[[#This Row],[Engagement Score]]&lt;40,"🟡","🟢"))</f>
        <v>🔴</v>
      </c>
      <c r="Q97" s="14">
        <v>78.099999999999994</v>
      </c>
      <c r="R97" s="14">
        <v>13.3</v>
      </c>
      <c r="S97" s="14">
        <v>8.6</v>
      </c>
      <c r="T97" s="20" t="s">
        <v>115</v>
      </c>
    </row>
    <row r="98" spans="1:20" ht="32.1" customHeight="1">
      <c r="A98" s="15">
        <v>7</v>
      </c>
      <c r="B98" s="17" t="s">
        <v>116</v>
      </c>
      <c r="C98" s="65">
        <v>45901</v>
      </c>
      <c r="D98" s="79" t="s">
        <v>21</v>
      </c>
      <c r="E98" s="79" t="s">
        <v>22</v>
      </c>
      <c r="F98" s="9" t="s">
        <v>27</v>
      </c>
      <c r="G98" s="10">
        <v>2543</v>
      </c>
      <c r="H98" s="8">
        <v>1299</v>
      </c>
      <c r="I98" s="6">
        <v>168</v>
      </c>
      <c r="J98" s="8">
        <v>3</v>
      </c>
      <c r="K98" s="71">
        <f>(Table1[[#This Row],[unsub]]/Table1[[#This Row],[unique-sends]])*100</f>
        <v>0.11797090051120723</v>
      </c>
      <c r="L98" s="72">
        <f>Table1[[#This Row],[unique-opens]] / Table1[[#This Row],[unique-sends]] * 100</f>
        <v>51.081399921352734</v>
      </c>
      <c r="M98" s="73">
        <f>Table1[[#This Row],[unique-clicks]] / Table1[[#This Row],[unique-sends]] * 100</f>
        <v>6.6063704286276046</v>
      </c>
      <c r="N98" s="73">
        <f>Table1[[#This Row],[unique-clicks]] / Table1[[#This Row],[unique-opens]] * 100</f>
        <v>12.933025404157044</v>
      </c>
      <c r="O98" s="73">
        <f>(MIN(Table1[[#This Row],[unique-opens]]/Table1[[#This Row],[unique-sends]],1)*50
 + MIN(Table1[[#This Row],[unique-clicks]]/Table1[[#This Row],[unique-sends]],1)*50)
 * (1 + MIN(Table1[[#This Row],[unique-clicks]]/Table1[[#This Row],[unique-sends]],1))
 - ((Table1[[#This Row],[unsub]]/Table1[[#This Row],[unique-sends]]*100)*2)</f>
        <v>30.513477274635605</v>
      </c>
      <c r="P98" s="11" t="str">
        <f>IF(Table1[[#This Row],[Engagement Score]]&lt;30,"🔴",IF(Table1[[#This Row],[Engagement Score]]&lt;40,"🟡","🟢"))</f>
        <v>🟡</v>
      </c>
      <c r="Q98" s="14">
        <v>70.5</v>
      </c>
      <c r="R98" s="14">
        <v>18.5</v>
      </c>
      <c r="S98" s="14">
        <v>11</v>
      </c>
      <c r="T98" s="18" t="s">
        <v>117</v>
      </c>
    </row>
    <row r="99" spans="1:20" ht="32.1" customHeight="1">
      <c r="A99" s="24">
        <v>8</v>
      </c>
      <c r="B99" s="17" t="s">
        <v>118</v>
      </c>
      <c r="C99" s="65">
        <v>45901</v>
      </c>
      <c r="D99" s="80" t="s">
        <v>29</v>
      </c>
      <c r="E99" s="79" t="s">
        <v>22</v>
      </c>
      <c r="F99" s="9" t="s">
        <v>27</v>
      </c>
      <c r="G99" s="14">
        <v>715</v>
      </c>
      <c r="H99" s="14">
        <v>427</v>
      </c>
      <c r="I99" s="15">
        <v>62</v>
      </c>
      <c r="J99" s="14">
        <v>0</v>
      </c>
      <c r="K99" s="71">
        <f>(Table1[[#This Row],[unsub]]/Table1[[#This Row],[unique-sends]])*100</f>
        <v>0</v>
      </c>
      <c r="L99" s="72">
        <f>Table1[[#This Row],[unique-opens]] / Table1[[#This Row],[unique-sends]] * 100</f>
        <v>59.72027972027972</v>
      </c>
      <c r="M99" s="73">
        <f>Table1[[#This Row],[unique-clicks]] / Table1[[#This Row],[unique-sends]] * 100</f>
        <v>8.6713286713286699</v>
      </c>
      <c r="N99" s="73">
        <f>Table1[[#This Row],[unique-clicks]] / Table1[[#This Row],[unique-opens]] * 100</f>
        <v>14.519906323185012</v>
      </c>
      <c r="O99" s="73">
        <f>(MIN(Table1[[#This Row],[unique-opens]]/Table1[[#This Row],[unique-sends]],1)*50
 + MIN(Table1[[#This Row],[unique-clicks]]/Table1[[#This Row],[unique-sends]],1)*50)
 * (1 + MIN(Table1[[#This Row],[unique-clicks]]/Table1[[#This Row],[unique-sends]],1))
 - ((Table1[[#This Row],[unsub]]/Table1[[#This Row],[unique-sends]]*100)*2)</f>
        <v>37.161034769426372</v>
      </c>
      <c r="P99" s="11" t="str">
        <f>IF(Table1[[#This Row],[Engagement Score]]&lt;30,"🔴",IF(Table1[[#This Row],[Engagement Score]]&lt;40,"🟡","🟢"))</f>
        <v>🟡</v>
      </c>
      <c r="Q99" s="14">
        <v>66.099999999999994</v>
      </c>
      <c r="R99" s="14">
        <v>18.3</v>
      </c>
      <c r="S99" s="14">
        <v>15.6</v>
      </c>
      <c r="T99" s="20" t="s">
        <v>119</v>
      </c>
    </row>
    <row r="100" spans="1:20" ht="32.1" customHeight="1">
      <c r="A100" s="15">
        <v>8</v>
      </c>
      <c r="B100" s="21" t="s">
        <v>120</v>
      </c>
      <c r="C100" s="65">
        <v>45901</v>
      </c>
      <c r="D100" s="80" t="s">
        <v>29</v>
      </c>
      <c r="E100" s="79" t="s">
        <v>22</v>
      </c>
      <c r="F100" s="9" t="s">
        <v>27</v>
      </c>
      <c r="G100" s="16">
        <v>3480</v>
      </c>
      <c r="H100" s="14">
        <v>1997</v>
      </c>
      <c r="I100" s="15">
        <v>339</v>
      </c>
      <c r="J100" s="14">
        <v>0</v>
      </c>
      <c r="K100" s="71">
        <f>(Table1[[#This Row],[unsub]]/Table1[[#This Row],[unique-sends]])*100</f>
        <v>0</v>
      </c>
      <c r="L100" s="72">
        <f>Table1[[#This Row],[unique-opens]] / Table1[[#This Row],[unique-sends]] * 100</f>
        <v>57.385057471264368</v>
      </c>
      <c r="M100" s="73">
        <f>Table1[[#This Row],[unique-clicks]] / Table1[[#This Row],[unique-sends]] * 100</f>
        <v>9.7413793103448274</v>
      </c>
      <c r="N100" s="73">
        <f>Table1[[#This Row],[unique-clicks]] / Table1[[#This Row],[unique-opens]] * 100</f>
        <v>16.975463194792187</v>
      </c>
      <c r="O100" s="73">
        <f>(MIN(Table1[[#This Row],[unique-opens]]/Table1[[#This Row],[unique-sends]],1)*50
 + MIN(Table1[[#This Row],[unique-clicks]]/Table1[[#This Row],[unique-sends]],1)*50)
 * (1 + MIN(Table1[[#This Row],[unique-clicks]]/Table1[[#This Row],[unique-sends]],1))
 - ((Table1[[#This Row],[unsub]]/Table1[[#This Row],[unique-sends]]*100)*2)</f>
        <v>36.83273880301229</v>
      </c>
      <c r="P100" s="11" t="str">
        <f>IF(Table1[[#This Row],[Engagement Score]]&lt;30,"🔴",IF(Table1[[#This Row],[Engagement Score]]&lt;40,"🟡","🟢"))</f>
        <v>🟡</v>
      </c>
      <c r="Q100" s="14">
        <v>76.8</v>
      </c>
      <c r="R100" s="14">
        <v>14.7</v>
      </c>
      <c r="S100" s="14">
        <v>8.6</v>
      </c>
      <c r="T100" s="20" t="s">
        <v>121</v>
      </c>
    </row>
    <row r="101" spans="1:20" ht="32.1" customHeight="1">
      <c r="A101" s="15">
        <v>9</v>
      </c>
      <c r="B101" s="17" t="s">
        <v>122</v>
      </c>
      <c r="C101" s="65">
        <v>45901</v>
      </c>
      <c r="D101" s="79" t="s">
        <v>21</v>
      </c>
      <c r="E101" s="79" t="s">
        <v>22</v>
      </c>
      <c r="F101" s="9" t="s">
        <v>27</v>
      </c>
      <c r="G101" s="8">
        <v>406</v>
      </c>
      <c r="H101" s="8">
        <v>271</v>
      </c>
      <c r="I101" s="6">
        <v>51</v>
      </c>
      <c r="J101" s="8">
        <v>0</v>
      </c>
      <c r="K101" s="71">
        <f>(Table1[[#This Row],[unsub]]/Table1[[#This Row],[unique-sends]])*100</f>
        <v>0</v>
      </c>
      <c r="L101" s="72">
        <f>Table1[[#This Row],[unique-opens]] / Table1[[#This Row],[unique-sends]] * 100</f>
        <v>66.748768472906406</v>
      </c>
      <c r="M101" s="73">
        <f>Table1[[#This Row],[unique-clicks]] / Table1[[#This Row],[unique-sends]] * 100</f>
        <v>12.561576354679804</v>
      </c>
      <c r="N101" s="73">
        <f>Table1[[#This Row],[unique-clicks]] / Table1[[#This Row],[unique-opens]] * 100</f>
        <v>18.819188191881921</v>
      </c>
      <c r="O101" s="73">
        <f>(MIN(Table1[[#This Row],[unique-opens]]/Table1[[#This Row],[unique-sends]],1)*50
 + MIN(Table1[[#This Row],[unique-clicks]]/Table1[[#This Row],[unique-sends]],1)*50)
 * (1 + MIN(Table1[[#This Row],[unique-clicks]]/Table1[[#This Row],[unique-sends]],1))
 - ((Table1[[#This Row],[unsub]]/Table1[[#This Row],[unique-sends]]*100)*2)</f>
        <v>44.636487175131649</v>
      </c>
      <c r="P101" s="11" t="str">
        <f>IF(Table1[[#This Row],[Engagement Score]]&lt;30,"🔴",IF(Table1[[#This Row],[Engagement Score]]&lt;40,"🟡","🟢"))</f>
        <v>🟢</v>
      </c>
      <c r="Q101" s="14">
        <v>71.900000000000006</v>
      </c>
      <c r="R101" s="14">
        <v>125</v>
      </c>
      <c r="S101" s="14">
        <v>15.6</v>
      </c>
      <c r="T101" s="18" t="s">
        <v>123</v>
      </c>
    </row>
    <row r="102" spans="1:20" ht="32.1" customHeight="1">
      <c r="A102" s="15">
        <v>14</v>
      </c>
      <c r="B102" s="22" t="s">
        <v>20</v>
      </c>
      <c r="C102" s="65">
        <v>45901</v>
      </c>
      <c r="D102" s="79" t="s">
        <v>21</v>
      </c>
      <c r="E102" s="79" t="s">
        <v>22</v>
      </c>
      <c r="F102" s="9" t="s">
        <v>23</v>
      </c>
      <c r="G102" s="16">
        <v>1790</v>
      </c>
      <c r="H102" s="14">
        <v>2067</v>
      </c>
      <c r="I102" s="15">
        <v>60</v>
      </c>
      <c r="J102" s="14">
        <v>20</v>
      </c>
      <c r="K102" s="71">
        <f>(Table1[[#This Row],[unsub]]/Table1[[#This Row],[unique-sends]])*100</f>
        <v>1.1173184357541899</v>
      </c>
      <c r="L102" s="72">
        <f>Table1[[#This Row],[unique-opens]] / Table1[[#This Row],[unique-sends]] * 100</f>
        <v>115.47486033519554</v>
      </c>
      <c r="M102" s="73">
        <f>Table1[[#This Row],[unique-clicks]] / Table1[[#This Row],[unique-sends]] * 100</f>
        <v>3.3519553072625698</v>
      </c>
      <c r="N102" s="73">
        <f>Table1[[#This Row],[unique-clicks]] / Table1[[#This Row],[unique-opens]] * 100</f>
        <v>2.9027576197387517</v>
      </c>
      <c r="O102" s="73">
        <f>(MIN(Table1[[#This Row],[unique-opens]]/Table1[[#This Row],[unique-sends]],1)*50
 + MIN(Table1[[#This Row],[unique-clicks]]/Table1[[#This Row],[unique-sends]],1)*50)
 * (1 + MIN(Table1[[#This Row],[unique-clicks]]/Table1[[#This Row],[unique-sends]],1))
 - ((Table1[[#This Row],[unsub]]/Table1[[#This Row],[unique-sends]]*100)*2)</f>
        <v>51.173496457663624</v>
      </c>
      <c r="P102" s="11" t="str">
        <f>IF(Table1[[#This Row],[Engagement Score]]&lt;30,"🔴",IF(Table1[[#This Row],[Engagement Score]]&lt;40,"🟡","🟢"))</f>
        <v>🟢</v>
      </c>
      <c r="Q102" s="14">
        <v>0</v>
      </c>
      <c r="R102" s="14">
        <v>0</v>
      </c>
      <c r="S102" s="14">
        <v>0</v>
      </c>
      <c r="T102" s="14" t="s">
        <v>24</v>
      </c>
    </row>
    <row r="103" spans="1:20" ht="32.1" customHeight="1">
      <c r="A103" s="15">
        <v>34</v>
      </c>
      <c r="B103" s="21" t="s">
        <v>31</v>
      </c>
      <c r="C103" s="65">
        <v>45901</v>
      </c>
      <c r="D103" s="80" t="s">
        <v>21</v>
      </c>
      <c r="E103" s="79" t="s">
        <v>22</v>
      </c>
      <c r="F103" s="9" t="s">
        <v>23</v>
      </c>
      <c r="G103" s="16">
        <v>5466</v>
      </c>
      <c r="H103" s="14">
        <v>4122</v>
      </c>
      <c r="I103" s="15">
        <v>137</v>
      </c>
      <c r="J103" s="14">
        <v>23</v>
      </c>
      <c r="K103" s="71">
        <f>(Table1[[#This Row],[unsub]]/Table1[[#This Row],[unique-sends]])*100</f>
        <v>0.42078302231979509</v>
      </c>
      <c r="L103" s="72">
        <f>Table1[[#This Row],[unique-opens]] / Table1[[#This Row],[unique-sends]] * 100</f>
        <v>75.411635565312835</v>
      </c>
      <c r="M103" s="73">
        <f>Table1[[#This Row],[unique-clicks]] / Table1[[#This Row],[unique-sends]] * 100</f>
        <v>2.5064032199048665</v>
      </c>
      <c r="N103" s="73">
        <f>Table1[[#This Row],[unique-clicks]] / Table1[[#This Row],[unique-opens]] * 100</f>
        <v>3.323629306162057</v>
      </c>
      <c r="O103" s="73">
        <f>(MIN(Table1[[#This Row],[unique-opens]]/Table1[[#This Row],[unique-sends]],1)*50
 + MIN(Table1[[#This Row],[unique-clicks]]/Table1[[#This Row],[unique-sends]],1)*50)
 * (1 + MIN(Table1[[#This Row],[unique-clicks]]/Table1[[#This Row],[unique-sends]],1))
 - ((Table1[[#This Row],[unsub]]/Table1[[#This Row],[unique-sends]]*100)*2)</f>
        <v>39.093923464468972</v>
      </c>
      <c r="P103" s="11" t="str">
        <f>IF(Table1[[#This Row],[Engagement Score]]&lt;30,"🔴",IF(Table1[[#This Row],[Engagement Score]]&lt;40,"🟡","🟢"))</f>
        <v>🟡</v>
      </c>
      <c r="Q103" s="14">
        <v>0</v>
      </c>
      <c r="R103" s="14">
        <v>0</v>
      </c>
      <c r="S103" s="14">
        <v>0</v>
      </c>
      <c r="T103" s="14" t="s">
        <v>24</v>
      </c>
    </row>
    <row r="104" spans="1:20" ht="32.1" customHeight="1">
      <c r="A104" s="15">
        <v>35</v>
      </c>
      <c r="B104" s="22" t="s">
        <v>32</v>
      </c>
      <c r="C104" s="65">
        <v>45901</v>
      </c>
      <c r="D104" s="80" t="s">
        <v>21</v>
      </c>
      <c r="E104" s="79" t="s">
        <v>22</v>
      </c>
      <c r="F104" s="9" t="s">
        <v>23</v>
      </c>
      <c r="G104" s="16">
        <v>3575</v>
      </c>
      <c r="H104" s="14">
        <v>2001</v>
      </c>
      <c r="I104" s="15">
        <v>213</v>
      </c>
      <c r="J104" s="14">
        <v>10</v>
      </c>
      <c r="K104" s="71">
        <f>(Table1[[#This Row],[unsub]]/Table1[[#This Row],[unique-sends]])*100</f>
        <v>0.27972027972027974</v>
      </c>
      <c r="L104" s="72">
        <f>Table1[[#This Row],[unique-opens]] / Table1[[#This Row],[unique-sends]] * 100</f>
        <v>55.972027972027973</v>
      </c>
      <c r="M104" s="73">
        <f>Table1[[#This Row],[unique-clicks]] / Table1[[#This Row],[unique-sends]] * 100</f>
        <v>5.9580419580419584</v>
      </c>
      <c r="N104" s="73">
        <f>Table1[[#This Row],[unique-clicks]] / Table1[[#This Row],[unique-opens]] * 100</f>
        <v>10.644677661169414</v>
      </c>
      <c r="O104" s="73">
        <f>(MIN(Table1[[#This Row],[unique-opens]]/Table1[[#This Row],[unique-sends]],1)*50
 + MIN(Table1[[#This Row],[unique-clicks]]/Table1[[#This Row],[unique-sends]],1)*50)
 * (1 + MIN(Table1[[#This Row],[unique-clicks]]/Table1[[#This Row],[unique-sends]],1))
 - ((Table1[[#This Row],[unsub]]/Table1[[#This Row],[unique-sends]]*100)*2)</f>
        <v>32.25050418113355</v>
      </c>
      <c r="P104" s="11" t="str">
        <f>IF(Table1[[#This Row],[Engagement Score]]&lt;30,"🔴",IF(Table1[[#This Row],[Engagement Score]]&lt;40,"🟡","🟢"))</f>
        <v>🟡</v>
      </c>
      <c r="Q104" s="14">
        <v>0</v>
      </c>
      <c r="R104" s="14">
        <v>0</v>
      </c>
      <c r="S104" s="14">
        <v>0</v>
      </c>
      <c r="T104" s="14" t="s">
        <v>24</v>
      </c>
    </row>
    <row r="105" spans="1:20" ht="32.1" customHeight="1">
      <c r="A105" s="15">
        <v>36</v>
      </c>
      <c r="B105" s="13" t="s">
        <v>32</v>
      </c>
      <c r="C105" s="65">
        <v>45901</v>
      </c>
      <c r="D105" s="79" t="s">
        <v>29</v>
      </c>
      <c r="E105" s="79" t="s">
        <v>22</v>
      </c>
      <c r="F105" s="9" t="s">
        <v>23</v>
      </c>
      <c r="G105" s="8">
        <v>127</v>
      </c>
      <c r="H105" s="8">
        <v>109</v>
      </c>
      <c r="I105" s="6">
        <v>17</v>
      </c>
      <c r="J105" s="8">
        <v>0</v>
      </c>
      <c r="K105" s="71">
        <f>(Table1[[#This Row],[unsub]]/Table1[[#This Row],[unique-sends]])*100</f>
        <v>0</v>
      </c>
      <c r="L105" s="72">
        <f>Table1[[#This Row],[unique-opens]] / Table1[[#This Row],[unique-sends]] * 100</f>
        <v>85.826771653543304</v>
      </c>
      <c r="M105" s="73">
        <f>Table1[[#This Row],[unique-clicks]] / Table1[[#This Row],[unique-sends]] * 100</f>
        <v>13.385826771653544</v>
      </c>
      <c r="N105" s="73">
        <f>Table1[[#This Row],[unique-clicks]] / Table1[[#This Row],[unique-opens]] * 100</f>
        <v>15.596330275229359</v>
      </c>
      <c r="O105" s="73">
        <f>(MIN(Table1[[#This Row],[unique-opens]]/Table1[[#This Row],[unique-sends]],1)*50
 + MIN(Table1[[#This Row],[unique-clicks]]/Table1[[#This Row],[unique-sends]],1)*50)
 * (1 + MIN(Table1[[#This Row],[unique-clicks]]/Table1[[#This Row],[unique-sends]],1))
 - ((Table1[[#This Row],[unsub]]/Table1[[#This Row],[unique-sends]]*100)*2)</f>
        <v>56.24651249302498</v>
      </c>
      <c r="P105" s="11" t="str">
        <f>IF(Table1[[#This Row],[Engagement Score]]&lt;30,"🔴",IF(Table1[[#This Row],[Engagement Score]]&lt;40,"🟡","🟢"))</f>
        <v>🟢</v>
      </c>
      <c r="Q105" s="14">
        <v>0</v>
      </c>
      <c r="R105" s="14">
        <v>0</v>
      </c>
      <c r="S105" s="14">
        <v>0</v>
      </c>
      <c r="T105" s="8" t="s">
        <v>24</v>
      </c>
    </row>
    <row r="106" spans="1:20" ht="32.1" customHeight="1">
      <c r="A106" s="15">
        <v>38</v>
      </c>
      <c r="B106" s="21" t="s">
        <v>124</v>
      </c>
      <c r="C106" s="66">
        <v>45901</v>
      </c>
      <c r="D106" s="79" t="s">
        <v>21</v>
      </c>
      <c r="E106" s="79" t="s">
        <v>22</v>
      </c>
      <c r="F106" s="9" t="s">
        <v>23</v>
      </c>
      <c r="G106" s="16">
        <v>4027</v>
      </c>
      <c r="H106" s="14">
        <v>2816</v>
      </c>
      <c r="I106" s="15">
        <v>96</v>
      </c>
      <c r="J106" s="14">
        <v>19</v>
      </c>
      <c r="K106" s="71">
        <f>(Table1[[#This Row],[unsub]]/Table1[[#This Row],[unique-sends]])*100</f>
        <v>0.47181524708219513</v>
      </c>
      <c r="L106" s="72">
        <f>Table1[[#This Row],[unique-opens]] / Table1[[#This Row],[unique-sends]] * 100</f>
        <v>69.927986093866394</v>
      </c>
      <c r="M106" s="73">
        <f>Table1[[#This Row],[unique-clicks]] / Table1[[#This Row],[unique-sends]] * 100</f>
        <v>2.3839086168363548</v>
      </c>
      <c r="N106" s="73">
        <f>Table1[[#This Row],[unique-clicks]] / Table1[[#This Row],[unique-opens]] * 100</f>
        <v>3.4090909090909087</v>
      </c>
      <c r="O106" s="73">
        <f>(MIN(Table1[[#This Row],[unique-opens]]/Table1[[#This Row],[unique-sends]],1)*50
 + MIN(Table1[[#This Row],[unique-clicks]]/Table1[[#This Row],[unique-sends]],1)*50)
 * (1 + MIN(Table1[[#This Row],[unique-clicks]]/Table1[[#This Row],[unique-sends]],1))
 - ((Table1[[#This Row],[unsub]]/Table1[[#This Row],[unique-sends]]*100)*2)</f>
        <v>36.07424160569002</v>
      </c>
      <c r="P106" s="11" t="str">
        <f>IF(Table1[[#This Row],[Engagement Score]]&lt;30,"🔴",IF(Table1[[#This Row],[Engagement Score]]&lt;40,"🟡","🟢"))</f>
        <v>🟡</v>
      </c>
      <c r="Q106" s="14">
        <v>0</v>
      </c>
      <c r="R106" s="14">
        <v>0</v>
      </c>
      <c r="S106" s="14">
        <v>0</v>
      </c>
      <c r="T106" s="14" t="s">
        <v>24</v>
      </c>
    </row>
    <row r="107" spans="1:20" ht="32.1" customHeight="1">
      <c r="A107" s="15">
        <v>38</v>
      </c>
      <c r="B107" s="21" t="s">
        <v>34</v>
      </c>
      <c r="C107" s="66">
        <v>45901</v>
      </c>
      <c r="D107" s="79" t="s">
        <v>21</v>
      </c>
      <c r="E107" s="79" t="s">
        <v>22</v>
      </c>
      <c r="F107" s="9" t="s">
        <v>23</v>
      </c>
      <c r="G107" s="14">
        <v>142</v>
      </c>
      <c r="H107" s="14">
        <v>136</v>
      </c>
      <c r="I107" s="15">
        <v>21</v>
      </c>
      <c r="J107" s="14">
        <v>0</v>
      </c>
      <c r="K107" s="71">
        <f>(Table1[[#This Row],[unsub]]/Table1[[#This Row],[unique-sends]])*100</f>
        <v>0</v>
      </c>
      <c r="L107" s="72">
        <f>Table1[[#This Row],[unique-opens]] / Table1[[#This Row],[unique-sends]] * 100</f>
        <v>95.774647887323937</v>
      </c>
      <c r="M107" s="73">
        <f>Table1[[#This Row],[unique-clicks]] / Table1[[#This Row],[unique-sends]] * 100</f>
        <v>14.788732394366196</v>
      </c>
      <c r="N107" s="73">
        <f>Table1[[#This Row],[unique-clicks]] / Table1[[#This Row],[unique-opens]] * 100</f>
        <v>15.441176470588236</v>
      </c>
      <c r="O107" s="73">
        <f>(MIN(Table1[[#This Row],[unique-opens]]/Table1[[#This Row],[unique-sends]],1)*50
 + MIN(Table1[[#This Row],[unique-clicks]]/Table1[[#This Row],[unique-sends]],1)*50)
 * (1 + MIN(Table1[[#This Row],[unique-clicks]]/Table1[[#This Row],[unique-sends]],1))
 - ((Table1[[#This Row],[unsub]]/Table1[[#This Row],[unique-sends]]*100)*2)</f>
        <v>63.457151358857367</v>
      </c>
      <c r="P107" s="11" t="str">
        <f>IF(Table1[[#This Row],[Engagement Score]]&lt;30,"🔴",IF(Table1[[#This Row],[Engagement Score]]&lt;40,"🟡","🟢"))</f>
        <v>🟢</v>
      </c>
      <c r="Q107" s="14">
        <v>0</v>
      </c>
      <c r="R107" s="14">
        <v>0</v>
      </c>
      <c r="S107" s="14">
        <v>0</v>
      </c>
      <c r="T107" s="14" t="s">
        <v>24</v>
      </c>
    </row>
    <row r="108" spans="1:20" ht="32.1" customHeight="1">
      <c r="A108" s="15">
        <v>39</v>
      </c>
      <c r="B108" s="21" t="s">
        <v>124</v>
      </c>
      <c r="C108" s="66">
        <v>45901</v>
      </c>
      <c r="D108" s="80" t="s">
        <v>29</v>
      </c>
      <c r="E108" s="79" t="s">
        <v>22</v>
      </c>
      <c r="F108" s="9" t="s">
        <v>23</v>
      </c>
      <c r="G108" s="14">
        <v>173</v>
      </c>
      <c r="H108" s="14">
        <v>106</v>
      </c>
      <c r="I108" s="15">
        <v>2</v>
      </c>
      <c r="J108" s="14">
        <v>1</v>
      </c>
      <c r="K108" s="71">
        <f>(Table1[[#This Row],[unsub]]/Table1[[#This Row],[unique-sends]])*100</f>
        <v>0.57803468208092479</v>
      </c>
      <c r="L108" s="72">
        <f>Table1[[#This Row],[unique-opens]] / Table1[[#This Row],[unique-sends]] * 100</f>
        <v>61.271676300578036</v>
      </c>
      <c r="M108" s="73">
        <f>Table1[[#This Row],[unique-clicks]] / Table1[[#This Row],[unique-sends]] * 100</f>
        <v>1.1560693641618496</v>
      </c>
      <c r="N108" s="73">
        <f>Table1[[#This Row],[unique-clicks]] / Table1[[#This Row],[unique-opens]] * 100</f>
        <v>1.8867924528301887</v>
      </c>
      <c r="O108" s="73">
        <f>(MIN(Table1[[#This Row],[unique-opens]]/Table1[[#This Row],[unique-sends]],1)*50
 + MIN(Table1[[#This Row],[unique-clicks]]/Table1[[#This Row],[unique-sends]],1)*50)
 * (1 + MIN(Table1[[#This Row],[unique-clicks]]/Table1[[#This Row],[unique-sends]],1))
 - ((Table1[[#This Row],[unsub]]/Table1[[#This Row],[unique-sends]]*100)*2)</f>
        <v>30.418657489391563</v>
      </c>
      <c r="P108" s="11" t="str">
        <f>IF(Table1[[#This Row],[Engagement Score]]&lt;30,"🔴",IF(Table1[[#This Row],[Engagement Score]]&lt;40,"🟡","🟢"))</f>
        <v>🟡</v>
      </c>
      <c r="Q108" s="14">
        <v>0</v>
      </c>
      <c r="R108" s="14">
        <v>0</v>
      </c>
      <c r="S108" s="14">
        <v>0</v>
      </c>
      <c r="T108" s="14" t="s">
        <v>24</v>
      </c>
    </row>
    <row r="109" spans="1:20" ht="32.1" customHeight="1">
      <c r="A109" s="6">
        <v>43</v>
      </c>
      <c r="B109" s="21" t="s">
        <v>38</v>
      </c>
      <c r="C109" s="65">
        <v>45901</v>
      </c>
      <c r="D109" s="80" t="s">
        <v>21</v>
      </c>
      <c r="E109" s="79" t="s">
        <v>22</v>
      </c>
      <c r="F109" s="9" t="s">
        <v>23</v>
      </c>
      <c r="G109" s="14">
        <v>770</v>
      </c>
      <c r="H109" s="14">
        <v>498</v>
      </c>
      <c r="I109" s="15">
        <v>59</v>
      </c>
      <c r="J109" s="14">
        <v>0</v>
      </c>
      <c r="K109" s="71">
        <f>(Table1[[#This Row],[unsub]]/Table1[[#This Row],[unique-sends]])*100</f>
        <v>0</v>
      </c>
      <c r="L109" s="72">
        <f>Table1[[#This Row],[unique-opens]] / Table1[[#This Row],[unique-sends]] * 100</f>
        <v>64.675324675324674</v>
      </c>
      <c r="M109" s="73">
        <f>Table1[[#This Row],[unique-clicks]] / Table1[[#This Row],[unique-sends]] * 100</f>
        <v>7.662337662337662</v>
      </c>
      <c r="N109" s="73">
        <f>Table1[[#This Row],[unique-clicks]] / Table1[[#This Row],[unique-opens]] * 100</f>
        <v>11.847389558232932</v>
      </c>
      <c r="O109" s="73">
        <f>(MIN(Table1[[#This Row],[unique-opens]]/Table1[[#This Row],[unique-sends]],1)*50
 + MIN(Table1[[#This Row],[unique-clicks]]/Table1[[#This Row],[unique-sends]],1)*50)
 * (1 + MIN(Table1[[#This Row],[unique-clicks]]/Table1[[#This Row],[unique-sends]],1))
 - ((Table1[[#This Row],[unsub]]/Table1[[#This Row],[unique-sends]]*100)*2)</f>
        <v>38.940209141507843</v>
      </c>
      <c r="P109" s="11" t="str">
        <f>IF(Table1[[#This Row],[Engagement Score]]&lt;30,"🔴",IF(Table1[[#This Row],[Engagement Score]]&lt;40,"🟡","🟢"))</f>
        <v>🟡</v>
      </c>
      <c r="Q109" s="14">
        <v>0</v>
      </c>
      <c r="R109" s="14">
        <v>0</v>
      </c>
      <c r="S109" s="14">
        <v>0</v>
      </c>
      <c r="T109" s="14" t="s">
        <v>24</v>
      </c>
    </row>
    <row r="110" spans="1:20" ht="32.1" customHeight="1">
      <c r="A110" s="6">
        <v>44</v>
      </c>
      <c r="B110" s="21" t="s">
        <v>39</v>
      </c>
      <c r="C110" s="65">
        <v>45901</v>
      </c>
      <c r="D110" s="80" t="s">
        <v>21</v>
      </c>
      <c r="E110" s="79" t="s">
        <v>22</v>
      </c>
      <c r="F110" s="9" t="s">
        <v>23</v>
      </c>
      <c r="G110" s="14">
        <v>102</v>
      </c>
      <c r="H110" s="14">
        <v>71</v>
      </c>
      <c r="I110" s="15">
        <v>4</v>
      </c>
      <c r="J110" s="14">
        <v>0</v>
      </c>
      <c r="K110" s="71">
        <f>(Table1[[#This Row],[unsub]]/Table1[[#This Row],[unique-sends]])*100</f>
        <v>0</v>
      </c>
      <c r="L110" s="72">
        <f>Table1[[#This Row],[unique-opens]] / Table1[[#This Row],[unique-sends]] * 100</f>
        <v>69.607843137254903</v>
      </c>
      <c r="M110" s="73">
        <f>Table1[[#This Row],[unique-clicks]] / Table1[[#This Row],[unique-sends]] * 100</f>
        <v>3.9215686274509802</v>
      </c>
      <c r="N110" s="73">
        <f>Table1[[#This Row],[unique-clicks]] / Table1[[#This Row],[unique-opens]] * 100</f>
        <v>5.6338028169014089</v>
      </c>
      <c r="O110" s="73">
        <f>(MIN(Table1[[#This Row],[unique-opens]]/Table1[[#This Row],[unique-sends]],1)*50
 + MIN(Table1[[#This Row],[unique-clicks]]/Table1[[#This Row],[unique-sends]],1)*50)
 * (1 + MIN(Table1[[#This Row],[unique-clicks]]/Table1[[#This Row],[unique-sends]],1))
 - ((Table1[[#This Row],[unsub]]/Table1[[#This Row],[unique-sends]]*100)*2)</f>
        <v>38.206459054209922</v>
      </c>
      <c r="P110" s="11" t="str">
        <f>IF(Table1[[#This Row],[Engagement Score]]&lt;30,"🔴",IF(Table1[[#This Row],[Engagement Score]]&lt;40,"🟡","🟢"))</f>
        <v>🟡</v>
      </c>
      <c r="Q110" s="14">
        <v>0</v>
      </c>
      <c r="R110" s="14">
        <v>0</v>
      </c>
      <c r="S110" s="14">
        <v>0</v>
      </c>
      <c r="T110" s="14" t="s">
        <v>24</v>
      </c>
    </row>
    <row r="111" spans="1:20" ht="32.1" customHeight="1">
      <c r="A111" s="15">
        <v>96</v>
      </c>
      <c r="B111" s="21" t="s">
        <v>40</v>
      </c>
      <c r="C111" s="65">
        <v>45901</v>
      </c>
      <c r="D111" s="80" t="s">
        <v>29</v>
      </c>
      <c r="E111" s="79" t="s">
        <v>22</v>
      </c>
      <c r="F111" s="9" t="s">
        <v>23</v>
      </c>
      <c r="G111" s="14">
        <v>116</v>
      </c>
      <c r="H111" s="14">
        <v>116</v>
      </c>
      <c r="I111" s="15">
        <v>9</v>
      </c>
      <c r="J111" s="14">
        <v>0</v>
      </c>
      <c r="K111" s="71">
        <f>(Table1[[#This Row],[unsub]]/Table1[[#This Row],[unique-sends]])*100</f>
        <v>0</v>
      </c>
      <c r="L111" s="72">
        <f>Table1[[#This Row],[unique-opens]] / Table1[[#This Row],[unique-sends]] * 100</f>
        <v>100</v>
      </c>
      <c r="M111" s="73">
        <f>Table1[[#This Row],[unique-clicks]] / Table1[[#This Row],[unique-sends]] * 100</f>
        <v>7.7586206896551726</v>
      </c>
      <c r="N111" s="73">
        <f>Table1[[#This Row],[unique-clicks]] / Table1[[#This Row],[unique-opens]] * 100</f>
        <v>7.7586206896551726</v>
      </c>
      <c r="O111" s="73">
        <f>(MIN(Table1[[#This Row],[unique-opens]]/Table1[[#This Row],[unique-sends]],1)*50
 + MIN(Table1[[#This Row],[unique-clicks]]/Table1[[#This Row],[unique-sends]],1)*50)
 * (1 + MIN(Table1[[#This Row],[unique-clicks]]/Table1[[#This Row],[unique-sends]],1))
 - ((Table1[[#This Row],[unsub]]/Table1[[#This Row],[unique-sends]]*100)*2)</f>
        <v>58.059601664684905</v>
      </c>
      <c r="P111" s="11" t="str">
        <f>IF(Table1[[#This Row],[Engagement Score]]&lt;30,"🔴",IF(Table1[[#This Row],[Engagement Score]]&lt;40,"🟡","🟢"))</f>
        <v>🟢</v>
      </c>
      <c r="Q111" s="14">
        <v>0</v>
      </c>
      <c r="R111" s="14">
        <v>0</v>
      </c>
      <c r="S111" s="14">
        <v>0</v>
      </c>
      <c r="T111" s="14" t="s">
        <v>24</v>
      </c>
    </row>
    <row r="112" spans="1:20" ht="32.1" customHeight="1">
      <c r="A112" s="6">
        <v>45</v>
      </c>
      <c r="B112" s="17" t="s">
        <v>41</v>
      </c>
      <c r="C112" s="65">
        <v>45901</v>
      </c>
      <c r="D112" s="80" t="s">
        <v>29</v>
      </c>
      <c r="E112" s="79" t="s">
        <v>22</v>
      </c>
      <c r="F112" s="9" t="s">
        <v>23</v>
      </c>
      <c r="G112" s="8">
        <v>54</v>
      </c>
      <c r="H112" s="8">
        <v>47</v>
      </c>
      <c r="I112" s="6">
        <v>6</v>
      </c>
      <c r="J112" s="8">
        <v>0</v>
      </c>
      <c r="K112" s="71">
        <f>(Table1[[#This Row],[unsub]]/Table1[[#This Row],[unique-sends]])*100</f>
        <v>0</v>
      </c>
      <c r="L112" s="72">
        <f>Table1[[#This Row],[unique-opens]] / Table1[[#This Row],[unique-sends]] * 100</f>
        <v>87.037037037037038</v>
      </c>
      <c r="M112" s="73">
        <f>Table1[[#This Row],[unique-clicks]] / Table1[[#This Row],[unique-sends]] * 100</f>
        <v>11.111111111111111</v>
      </c>
      <c r="N112" s="73">
        <f>Table1[[#This Row],[unique-clicks]] / Table1[[#This Row],[unique-opens]] * 100</f>
        <v>12.76595744680851</v>
      </c>
      <c r="O112" s="73">
        <f>(MIN(Table1[[#This Row],[unique-opens]]/Table1[[#This Row],[unique-sends]],1)*50
 + MIN(Table1[[#This Row],[unique-clicks]]/Table1[[#This Row],[unique-sends]],1)*50)
 * (1 + MIN(Table1[[#This Row],[unique-clicks]]/Table1[[#This Row],[unique-sends]],1))
 - ((Table1[[#This Row],[unsub]]/Table1[[#This Row],[unique-sends]]*100)*2)</f>
        <v>54.52674897119342</v>
      </c>
      <c r="P112" s="11" t="str">
        <f>IF(Table1[[#This Row],[Engagement Score]]&lt;30,"🔴",IF(Table1[[#This Row],[Engagement Score]]&lt;40,"🟡","🟢"))</f>
        <v>🟢</v>
      </c>
      <c r="Q112" s="14">
        <v>0</v>
      </c>
      <c r="R112" s="14">
        <v>0</v>
      </c>
      <c r="S112" s="14">
        <v>0</v>
      </c>
      <c r="T112" s="8" t="s">
        <v>24</v>
      </c>
    </row>
    <row r="113" spans="1:20" ht="32.1" customHeight="1">
      <c r="A113" s="15">
        <v>46</v>
      </c>
      <c r="B113" s="21" t="s">
        <v>40</v>
      </c>
      <c r="C113" s="66">
        <v>45901</v>
      </c>
      <c r="D113" s="80" t="s">
        <v>21</v>
      </c>
      <c r="E113" s="79" t="s">
        <v>22</v>
      </c>
      <c r="F113" s="9" t="s">
        <v>23</v>
      </c>
      <c r="G113" s="16">
        <v>2805</v>
      </c>
      <c r="H113" s="14">
        <v>2337</v>
      </c>
      <c r="I113" s="15">
        <v>303</v>
      </c>
      <c r="J113" s="14">
        <v>14</v>
      </c>
      <c r="K113" s="71">
        <f>(Table1[[#This Row],[unsub]]/Table1[[#This Row],[unique-sends]])*100</f>
        <v>0.49910873440285208</v>
      </c>
      <c r="L113" s="72">
        <f>Table1[[#This Row],[unique-opens]] / Table1[[#This Row],[unique-sends]] * 100</f>
        <v>83.315508021390372</v>
      </c>
      <c r="M113" s="73">
        <f>Table1[[#This Row],[unique-clicks]] / Table1[[#This Row],[unique-sends]] * 100</f>
        <v>10.802139037433154</v>
      </c>
      <c r="N113" s="73">
        <f>Table1[[#This Row],[unique-clicks]] / Table1[[#This Row],[unique-opens]] * 100</f>
        <v>12.965340179717586</v>
      </c>
      <c r="O113" s="73">
        <f>(MIN(Table1[[#This Row],[unique-opens]]/Table1[[#This Row],[unique-sends]],1)*50
 + MIN(Table1[[#This Row],[unique-clicks]]/Table1[[#This Row],[unique-sends]],1)*50)
 * (1 + MIN(Table1[[#This Row],[unique-clicks]]/Table1[[#This Row],[unique-sends]],1))
 - ((Table1[[#This Row],[unsub]]/Table1[[#This Row],[unique-sends]]*100)*2)</f>
        <v>51.143965607633419</v>
      </c>
      <c r="P113" s="11" t="str">
        <f>IF(Table1[[#This Row],[Engagement Score]]&lt;30,"🔴",IF(Table1[[#This Row],[Engagement Score]]&lt;40,"🟡","🟢"))</f>
        <v>🟢</v>
      </c>
      <c r="Q113" s="14">
        <v>0</v>
      </c>
      <c r="R113" s="14">
        <v>0</v>
      </c>
      <c r="S113" s="14">
        <v>0</v>
      </c>
      <c r="T113" s="14" t="s">
        <v>24</v>
      </c>
    </row>
    <row r="114" spans="1:20" ht="32.1" customHeight="1">
      <c r="A114" s="6">
        <v>46</v>
      </c>
      <c r="B114" s="17" t="s">
        <v>41</v>
      </c>
      <c r="C114" s="66">
        <v>45901</v>
      </c>
      <c r="D114" s="80" t="s">
        <v>21</v>
      </c>
      <c r="E114" s="79" t="s">
        <v>22</v>
      </c>
      <c r="F114" s="9" t="s">
        <v>23</v>
      </c>
      <c r="G114" s="10">
        <v>1459</v>
      </c>
      <c r="H114" s="8">
        <v>1060</v>
      </c>
      <c r="I114" s="6">
        <v>169</v>
      </c>
      <c r="J114" s="8">
        <v>3</v>
      </c>
      <c r="K114" s="71">
        <f>(Table1[[#This Row],[unsub]]/Table1[[#This Row],[unique-sends]])*100</f>
        <v>0.205620287868403</v>
      </c>
      <c r="L114" s="72">
        <f>Table1[[#This Row],[unique-opens]] / Table1[[#This Row],[unique-sends]] * 100</f>
        <v>72.652501713502403</v>
      </c>
      <c r="M114" s="73">
        <f>Table1[[#This Row],[unique-clicks]] / Table1[[#This Row],[unique-sends]] * 100</f>
        <v>11.583276216586704</v>
      </c>
      <c r="N114" s="73">
        <f>Table1[[#This Row],[unique-clicks]] / Table1[[#This Row],[unique-opens]] * 100</f>
        <v>15.943396226415093</v>
      </c>
      <c r="O114" s="73">
        <f>(MIN(Table1[[#This Row],[unique-opens]]/Table1[[#This Row],[unique-sends]],1)*50
 + MIN(Table1[[#This Row],[unique-clicks]]/Table1[[#This Row],[unique-sends]],1)*50)
 * (1 + MIN(Table1[[#This Row],[unique-clicks]]/Table1[[#This Row],[unique-sends]],1))
 - ((Table1[[#This Row],[unsub]]/Table1[[#This Row],[unique-sends]]*100)*2)</f>
        <v>46.585279804724152</v>
      </c>
      <c r="P114" s="11" t="str">
        <f>IF(Table1[[#This Row],[Engagement Score]]&lt;30,"🔴",IF(Table1[[#This Row],[Engagement Score]]&lt;40,"🟡","🟢"))</f>
        <v>🟢</v>
      </c>
      <c r="Q114" s="14">
        <v>0</v>
      </c>
      <c r="R114" s="14">
        <v>0</v>
      </c>
      <c r="S114" s="14">
        <v>0</v>
      </c>
      <c r="T114" s="8" t="s">
        <v>24</v>
      </c>
    </row>
    <row r="115" spans="1:20" ht="32.1" customHeight="1">
      <c r="A115" s="6">
        <v>47</v>
      </c>
      <c r="B115" s="17" t="s">
        <v>125</v>
      </c>
      <c r="C115" s="65">
        <v>45901</v>
      </c>
      <c r="D115" s="80" t="s">
        <v>21</v>
      </c>
      <c r="E115" s="79" t="s">
        <v>22</v>
      </c>
      <c r="F115" s="9" t="s">
        <v>23</v>
      </c>
      <c r="G115" s="10">
        <v>3289</v>
      </c>
      <c r="H115" s="8">
        <v>2804</v>
      </c>
      <c r="I115" s="6">
        <v>275</v>
      </c>
      <c r="J115" s="8">
        <v>21</v>
      </c>
      <c r="K115" s="71">
        <f>(Table1[[#This Row],[unsub]]/Table1[[#This Row],[unique-sends]])*100</f>
        <v>0.63849194283976896</v>
      </c>
      <c r="L115" s="72">
        <f>Table1[[#This Row],[unique-opens]] / Table1[[#This Row],[unique-sends]] * 100</f>
        <v>85.253876558224391</v>
      </c>
      <c r="M115" s="73">
        <f>Table1[[#This Row],[unique-clicks]] / Table1[[#This Row],[unique-sends]] * 100</f>
        <v>8.3612040133779271</v>
      </c>
      <c r="N115" s="73">
        <f>Table1[[#This Row],[unique-clicks]] / Table1[[#This Row],[unique-opens]] * 100</f>
        <v>9.8074179743223961</v>
      </c>
      <c r="O115" s="73">
        <f>(MIN(Table1[[#This Row],[unique-opens]]/Table1[[#This Row],[unique-sends]],1)*50
 + MIN(Table1[[#This Row],[unique-clicks]]/Table1[[#This Row],[unique-sends]],1)*50)
 * (1 + MIN(Table1[[#This Row],[unique-clicks]]/Table1[[#This Row],[unique-sends]],1))
 - ((Table1[[#This Row],[unsub]]/Table1[[#This Row],[unique-sends]]*100)*2)</f>
        <v>49.444230337061519</v>
      </c>
      <c r="P115" s="11" t="str">
        <f>IF(Table1[[#This Row],[Engagement Score]]&lt;30,"🔴",IF(Table1[[#This Row],[Engagement Score]]&lt;40,"🟡","🟢"))</f>
        <v>🟢</v>
      </c>
      <c r="Q115" s="14">
        <v>0</v>
      </c>
      <c r="R115" s="14">
        <v>0</v>
      </c>
      <c r="S115" s="14">
        <v>0</v>
      </c>
      <c r="T115" s="8" t="s">
        <v>24</v>
      </c>
    </row>
    <row r="116" spans="1:20" ht="32.1" customHeight="1">
      <c r="A116" s="6">
        <v>48</v>
      </c>
      <c r="B116" s="17" t="s">
        <v>125</v>
      </c>
      <c r="C116" s="65">
        <v>45901</v>
      </c>
      <c r="D116" s="80" t="s">
        <v>29</v>
      </c>
      <c r="E116" s="79" t="s">
        <v>22</v>
      </c>
      <c r="F116" s="9" t="s">
        <v>23</v>
      </c>
      <c r="G116" s="14">
        <v>173</v>
      </c>
      <c r="H116" s="14">
        <v>127</v>
      </c>
      <c r="I116" s="15">
        <v>8</v>
      </c>
      <c r="J116" s="14">
        <v>2</v>
      </c>
      <c r="K116" s="71">
        <f>(Table1[[#This Row],[unsub]]/Table1[[#This Row],[unique-sends]])*100</f>
        <v>1.1560693641618496</v>
      </c>
      <c r="L116" s="72">
        <f>Table1[[#This Row],[unique-opens]] / Table1[[#This Row],[unique-sends]] * 100</f>
        <v>73.410404624277461</v>
      </c>
      <c r="M116" s="73">
        <f>Table1[[#This Row],[unique-clicks]] / Table1[[#This Row],[unique-sends]] * 100</f>
        <v>4.6242774566473983</v>
      </c>
      <c r="N116" s="73">
        <f>Table1[[#This Row],[unique-clicks]] / Table1[[#This Row],[unique-opens]] * 100</f>
        <v>6.2992125984251963</v>
      </c>
      <c r="O116" s="73">
        <f>(MIN(Table1[[#This Row],[unique-opens]]/Table1[[#This Row],[unique-sends]],1)*50
 + MIN(Table1[[#This Row],[unique-clicks]]/Table1[[#This Row],[unique-sends]],1)*50)
 * (1 + MIN(Table1[[#This Row],[unique-clicks]]/Table1[[#This Row],[unique-sends]],1))
 - ((Table1[[#This Row],[unsub]]/Table1[[#This Row],[unique-sends]]*100)*2)</f>
        <v>38.509472418056063</v>
      </c>
      <c r="P116" s="11" t="str">
        <f>IF(Table1[[#This Row],[Engagement Score]]&lt;30,"🔴",IF(Table1[[#This Row],[Engagement Score]]&lt;40,"🟡","🟢"))</f>
        <v>🟡</v>
      </c>
      <c r="Q116" s="14">
        <v>0</v>
      </c>
      <c r="R116" s="14">
        <v>0</v>
      </c>
      <c r="S116" s="14">
        <v>0</v>
      </c>
      <c r="T116" s="14" t="s">
        <v>24</v>
      </c>
    </row>
    <row r="117" spans="1:20" ht="32.1" customHeight="1">
      <c r="A117" s="14">
        <v>49</v>
      </c>
      <c r="B117" s="17" t="s">
        <v>126</v>
      </c>
      <c r="C117" s="65">
        <v>45901</v>
      </c>
      <c r="D117" s="80" t="s">
        <v>29</v>
      </c>
      <c r="E117" s="79" t="s">
        <v>22</v>
      </c>
      <c r="F117" s="9" t="s">
        <v>23</v>
      </c>
      <c r="G117" s="16">
        <v>4096</v>
      </c>
      <c r="H117" s="14">
        <v>2883</v>
      </c>
      <c r="I117" s="15">
        <v>134</v>
      </c>
      <c r="J117" s="14">
        <v>22</v>
      </c>
      <c r="K117" s="71">
        <f>(Table1[[#This Row],[unsub]]/Table1[[#This Row],[unique-sends]])*100</f>
        <v>0.537109375</v>
      </c>
      <c r="L117" s="72">
        <f>Table1[[#This Row],[unique-opens]] / Table1[[#This Row],[unique-sends]] * 100</f>
        <v>70.3857421875</v>
      </c>
      <c r="M117" s="73">
        <f>Table1[[#This Row],[unique-clicks]] / Table1[[#This Row],[unique-sends]] * 100</f>
        <v>3.271484375</v>
      </c>
      <c r="N117" s="73">
        <f>Table1[[#This Row],[unique-clicks]] / Table1[[#This Row],[unique-opens]] * 100</f>
        <v>4.6479361775927854</v>
      </c>
      <c r="O117" s="73">
        <f>(MIN(Table1[[#This Row],[unique-opens]]/Table1[[#This Row],[unique-sends]],1)*50
 + MIN(Table1[[#This Row],[unique-clicks]]/Table1[[#This Row],[unique-sends]],1)*50)
 * (1 + MIN(Table1[[#This Row],[unique-clicks]]/Table1[[#This Row],[unique-sends]],1))
 - ((Table1[[#This Row],[unsub]]/Table1[[#This Row],[unique-sends]]*100)*2)</f>
        <v>36.959236860275269</v>
      </c>
      <c r="P117" s="11" t="str">
        <f>IF(Table1[[#This Row],[Engagement Score]]&lt;30,"🔴",IF(Table1[[#This Row],[Engagement Score]]&lt;40,"🟡","🟢"))</f>
        <v>🟡</v>
      </c>
      <c r="Q117" s="14">
        <v>0</v>
      </c>
      <c r="R117" s="14">
        <v>0</v>
      </c>
      <c r="S117" s="14">
        <v>0</v>
      </c>
      <c r="T117" s="14" t="s">
        <v>24</v>
      </c>
    </row>
    <row r="118" spans="1:20" ht="32.1" customHeight="1">
      <c r="A118" s="6">
        <v>50</v>
      </c>
      <c r="B118" s="17" t="s">
        <v>126</v>
      </c>
      <c r="C118" s="65">
        <v>45901</v>
      </c>
      <c r="D118" s="80" t="s">
        <v>21</v>
      </c>
      <c r="E118" s="79" t="s">
        <v>22</v>
      </c>
      <c r="F118" s="9" t="s">
        <v>23</v>
      </c>
      <c r="G118" s="14">
        <v>173</v>
      </c>
      <c r="H118" s="14">
        <v>140</v>
      </c>
      <c r="I118" s="15">
        <v>5</v>
      </c>
      <c r="J118" s="14">
        <v>0</v>
      </c>
      <c r="K118" s="71">
        <f>(Table1[[#This Row],[unsub]]/Table1[[#This Row],[unique-sends]])*100</f>
        <v>0</v>
      </c>
      <c r="L118" s="72">
        <f>Table1[[#This Row],[unique-opens]] / Table1[[#This Row],[unique-sends]] * 100</f>
        <v>80.924855491329481</v>
      </c>
      <c r="M118" s="73">
        <f>Table1[[#This Row],[unique-clicks]] / Table1[[#This Row],[unique-sends]] * 100</f>
        <v>2.8901734104046244</v>
      </c>
      <c r="N118" s="73">
        <f>Table1[[#This Row],[unique-clicks]] / Table1[[#This Row],[unique-opens]] * 100</f>
        <v>3.5714285714285712</v>
      </c>
      <c r="O118" s="73">
        <f>(MIN(Table1[[#This Row],[unique-opens]]/Table1[[#This Row],[unique-sends]],1)*50
 + MIN(Table1[[#This Row],[unique-clicks]]/Table1[[#This Row],[unique-sends]],1)*50)
 * (1 + MIN(Table1[[#This Row],[unique-clicks]]/Table1[[#This Row],[unique-sends]],1))
 - ((Table1[[#This Row],[unsub]]/Table1[[#This Row],[unique-sends]]*100)*2)</f>
        <v>43.118714290487489</v>
      </c>
      <c r="P118" s="11" t="str">
        <f>IF(Table1[[#This Row],[Engagement Score]]&lt;30,"🔴",IF(Table1[[#This Row],[Engagement Score]]&lt;40,"🟡","🟢"))</f>
        <v>🟢</v>
      </c>
      <c r="Q118" s="14">
        <v>0</v>
      </c>
      <c r="R118" s="14">
        <v>0</v>
      </c>
      <c r="S118" s="14">
        <v>0</v>
      </c>
      <c r="T118" s="14" t="s">
        <v>24</v>
      </c>
    </row>
    <row r="119" spans="1:20" ht="32.1" customHeight="1">
      <c r="A119" s="6">
        <v>51</v>
      </c>
      <c r="B119" s="17" t="s">
        <v>127</v>
      </c>
      <c r="C119" s="65">
        <v>45901</v>
      </c>
      <c r="D119" s="80" t="s">
        <v>29</v>
      </c>
      <c r="E119" s="79" t="s">
        <v>22</v>
      </c>
      <c r="F119" s="9" t="s">
        <v>23</v>
      </c>
      <c r="G119" s="8">
        <v>48</v>
      </c>
      <c r="H119" s="8">
        <v>36</v>
      </c>
      <c r="I119" s="6">
        <v>2</v>
      </c>
      <c r="J119" s="8">
        <v>0</v>
      </c>
      <c r="K119" s="71">
        <f>(Table1[[#This Row],[unsub]]/Table1[[#This Row],[unique-sends]])*100</f>
        <v>0</v>
      </c>
      <c r="L119" s="72">
        <f>Table1[[#This Row],[unique-opens]] / Table1[[#This Row],[unique-sends]] * 100</f>
        <v>75</v>
      </c>
      <c r="M119" s="73">
        <f>Table1[[#This Row],[unique-clicks]] / Table1[[#This Row],[unique-sends]] * 100</f>
        <v>4.1666666666666661</v>
      </c>
      <c r="N119" s="73">
        <f>Table1[[#This Row],[unique-clicks]] / Table1[[#This Row],[unique-opens]] * 100</f>
        <v>5.5555555555555554</v>
      </c>
      <c r="O119" s="73">
        <f>(MIN(Table1[[#This Row],[unique-opens]]/Table1[[#This Row],[unique-sends]],1)*50
 + MIN(Table1[[#This Row],[unique-clicks]]/Table1[[#This Row],[unique-sends]],1)*50)
 * (1 + MIN(Table1[[#This Row],[unique-clicks]]/Table1[[#This Row],[unique-sends]],1))
 - ((Table1[[#This Row],[unsub]]/Table1[[#This Row],[unique-sends]]*100)*2)</f>
        <v>41.232638888888893</v>
      </c>
      <c r="P119" s="11" t="str">
        <f>IF(Table1[[#This Row],[Engagement Score]]&lt;30,"🔴",IF(Table1[[#This Row],[Engagement Score]]&lt;40,"🟡","🟢"))</f>
        <v>🟢</v>
      </c>
      <c r="Q119" s="14">
        <v>0</v>
      </c>
      <c r="R119" s="14">
        <v>0</v>
      </c>
      <c r="S119" s="14">
        <v>0</v>
      </c>
      <c r="T119" s="8" t="s">
        <v>24</v>
      </c>
    </row>
    <row r="120" spans="1:20" ht="32.1" customHeight="1">
      <c r="A120" s="14">
        <v>53</v>
      </c>
      <c r="B120" s="17" t="s">
        <v>128</v>
      </c>
      <c r="C120" s="65">
        <v>45901</v>
      </c>
      <c r="D120" s="80" t="s">
        <v>21</v>
      </c>
      <c r="E120" s="79" t="s">
        <v>22</v>
      </c>
      <c r="F120" s="9" t="s">
        <v>23</v>
      </c>
      <c r="G120" s="8">
        <v>316</v>
      </c>
      <c r="H120" s="8">
        <v>326</v>
      </c>
      <c r="I120" s="6">
        <v>33</v>
      </c>
      <c r="J120" s="8">
        <v>0</v>
      </c>
      <c r="K120" s="71">
        <f>(Table1[[#This Row],[unsub]]/Table1[[#This Row],[unique-sends]])*100</f>
        <v>0</v>
      </c>
      <c r="L120" s="72">
        <f>Table1[[#This Row],[unique-opens]] / Table1[[#This Row],[unique-sends]] * 100</f>
        <v>103.16455696202532</v>
      </c>
      <c r="M120" s="73">
        <f>Table1[[#This Row],[unique-clicks]] / Table1[[#This Row],[unique-sends]] * 100</f>
        <v>10.443037974683545</v>
      </c>
      <c r="N120" s="73">
        <f>Table1[[#This Row],[unique-clicks]] / Table1[[#This Row],[unique-opens]] * 100</f>
        <v>10.122699386503067</v>
      </c>
      <c r="O120" s="73">
        <f>(MIN(Table1[[#This Row],[unique-opens]]/Table1[[#This Row],[unique-sends]],1)*50
 + MIN(Table1[[#This Row],[unique-clicks]]/Table1[[#This Row],[unique-sends]],1)*50)
 * (1 + MIN(Table1[[#This Row],[unique-clicks]]/Table1[[#This Row],[unique-sends]],1))
 - ((Table1[[#This Row],[unsub]]/Table1[[#This Row],[unique-sends]]*100)*2)</f>
        <v>60.988323185386967</v>
      </c>
      <c r="P120" s="11" t="str">
        <f>IF(Table1[[#This Row],[Engagement Score]]&lt;30,"🔴",IF(Table1[[#This Row],[Engagement Score]]&lt;40,"🟡","🟢"))</f>
        <v>🟢</v>
      </c>
      <c r="Q120" s="14">
        <v>0</v>
      </c>
      <c r="R120" s="14">
        <v>0</v>
      </c>
      <c r="S120" s="14">
        <v>0</v>
      </c>
      <c r="T120" s="8" t="s">
        <v>24</v>
      </c>
    </row>
    <row r="121" spans="1:20" ht="32.1" customHeight="1">
      <c r="A121" s="14">
        <v>54</v>
      </c>
      <c r="B121" s="17" t="s">
        <v>129</v>
      </c>
      <c r="C121" s="65">
        <v>45901</v>
      </c>
      <c r="D121" s="80" t="s">
        <v>21</v>
      </c>
      <c r="E121" s="79" t="s">
        <v>22</v>
      </c>
      <c r="F121" s="9" t="s">
        <v>23</v>
      </c>
      <c r="G121" s="10">
        <v>2266</v>
      </c>
      <c r="H121" s="8">
        <v>1780</v>
      </c>
      <c r="I121" s="6">
        <v>108</v>
      </c>
      <c r="J121" s="8">
        <v>15</v>
      </c>
      <c r="K121" s="71">
        <f>(Table1[[#This Row],[unsub]]/Table1[[#This Row],[unique-sends]])*100</f>
        <v>0.66195939982347751</v>
      </c>
      <c r="L121" s="72">
        <f>Table1[[#This Row],[unique-opens]] / Table1[[#This Row],[unique-sends]] * 100</f>
        <v>78.552515445719322</v>
      </c>
      <c r="M121" s="73">
        <f>Table1[[#This Row],[unique-clicks]] / Table1[[#This Row],[unique-sends]] * 100</f>
        <v>4.7661076787290382</v>
      </c>
      <c r="N121" s="73">
        <f>Table1[[#This Row],[unique-clicks]] / Table1[[#This Row],[unique-opens]] * 100</f>
        <v>6.0674157303370784</v>
      </c>
      <c r="O121" s="73">
        <f>(MIN(Table1[[#This Row],[unique-opens]]/Table1[[#This Row],[unique-sends]],1)*50
 + MIN(Table1[[#This Row],[unique-clicks]]/Table1[[#This Row],[unique-sends]],1)*50)
 * (1 + MIN(Table1[[#This Row],[unique-clicks]]/Table1[[#This Row],[unique-sends]],1))
 - ((Table1[[#This Row],[unsub]]/Table1[[#This Row],[unique-sends]]*100)*2)</f>
        <v>42.320920409850054</v>
      </c>
      <c r="P121" s="11" t="str">
        <f>IF(Table1[[#This Row],[Engagement Score]]&lt;30,"🔴",IF(Table1[[#This Row],[Engagement Score]]&lt;40,"🟡","🟢"))</f>
        <v>🟢</v>
      </c>
      <c r="Q121" s="14">
        <v>0</v>
      </c>
      <c r="R121" s="14">
        <v>0</v>
      </c>
      <c r="S121" s="14">
        <v>0</v>
      </c>
      <c r="T121" s="8" t="s">
        <v>24</v>
      </c>
    </row>
    <row r="122" spans="1:20" ht="32.1" customHeight="1">
      <c r="A122" s="14">
        <v>55</v>
      </c>
      <c r="B122" s="17" t="s">
        <v>130</v>
      </c>
      <c r="C122" s="65">
        <v>45901</v>
      </c>
      <c r="D122" s="80" t="s">
        <v>29</v>
      </c>
      <c r="E122" s="79" t="s">
        <v>22</v>
      </c>
      <c r="F122" s="9" t="s">
        <v>23</v>
      </c>
      <c r="G122" s="14">
        <v>50</v>
      </c>
      <c r="H122" s="14">
        <v>41</v>
      </c>
      <c r="I122" s="15">
        <v>1</v>
      </c>
      <c r="J122" s="14">
        <v>0</v>
      </c>
      <c r="K122" s="71">
        <f>(Table1[[#This Row],[unsub]]/Table1[[#This Row],[unique-sends]])*100</f>
        <v>0</v>
      </c>
      <c r="L122" s="72">
        <f>Table1[[#This Row],[unique-opens]] / Table1[[#This Row],[unique-sends]] * 100</f>
        <v>82</v>
      </c>
      <c r="M122" s="73">
        <f>Table1[[#This Row],[unique-clicks]] / Table1[[#This Row],[unique-sends]] * 100</f>
        <v>2</v>
      </c>
      <c r="N122" s="73">
        <f>Table1[[#This Row],[unique-clicks]] / Table1[[#This Row],[unique-opens]] * 100</f>
        <v>2.4390243902439024</v>
      </c>
      <c r="O122" s="73">
        <f>(MIN(Table1[[#This Row],[unique-opens]]/Table1[[#This Row],[unique-sends]],1)*50
 + MIN(Table1[[#This Row],[unique-clicks]]/Table1[[#This Row],[unique-sends]],1)*50)
 * (1 + MIN(Table1[[#This Row],[unique-clicks]]/Table1[[#This Row],[unique-sends]],1))
 - ((Table1[[#This Row],[unsub]]/Table1[[#This Row],[unique-sends]]*100)*2)</f>
        <v>42.84</v>
      </c>
      <c r="P122" s="11" t="str">
        <f>IF(Table1[[#This Row],[Engagement Score]]&lt;30,"🔴",IF(Table1[[#This Row],[Engagement Score]]&lt;40,"🟡","🟢"))</f>
        <v>🟢</v>
      </c>
      <c r="Q122" s="14">
        <v>0</v>
      </c>
      <c r="R122" s="14">
        <v>0</v>
      </c>
      <c r="S122" s="14">
        <v>0</v>
      </c>
      <c r="T122" s="14" t="s">
        <v>24</v>
      </c>
    </row>
    <row r="123" spans="1:20" ht="32.1" customHeight="1">
      <c r="A123" s="14">
        <v>57</v>
      </c>
      <c r="B123" s="21" t="s">
        <v>131</v>
      </c>
      <c r="C123" s="66">
        <v>45901</v>
      </c>
      <c r="D123" s="80" t="s">
        <v>21</v>
      </c>
      <c r="E123" s="80" t="s">
        <v>69</v>
      </c>
      <c r="F123" s="14" t="s">
        <v>27</v>
      </c>
      <c r="G123" s="16">
        <v>13607</v>
      </c>
      <c r="H123" s="14">
        <v>9295</v>
      </c>
      <c r="I123" s="15">
        <v>2450</v>
      </c>
      <c r="J123" s="14">
        <v>2</v>
      </c>
      <c r="K123" s="71">
        <f>(Table1[[#This Row],[unsub]]/Table1[[#This Row],[unique-sends]])*100</f>
        <v>1.4698317042698611E-2</v>
      </c>
      <c r="L123" s="72">
        <f>Table1[[#This Row],[unique-opens]] / Table1[[#This Row],[unique-sends]] * 100</f>
        <v>68.310428455941803</v>
      </c>
      <c r="M123" s="73">
        <f>Table1[[#This Row],[unique-clicks]] / Table1[[#This Row],[unique-sends]] * 100</f>
        <v>18.005438377305801</v>
      </c>
      <c r="N123" s="73">
        <f>Table1[[#This Row],[unique-clicks]] / Table1[[#This Row],[unique-opens]] * 100</f>
        <v>26.358257127487896</v>
      </c>
      <c r="O123" s="73">
        <f>(MIN(Table1[[#This Row],[unique-opens]]/Table1[[#This Row],[unique-sends]],1)*50
 + MIN(Table1[[#This Row],[unique-clicks]]/Table1[[#This Row],[unique-sends]],1)*50)
 * (1 + MIN(Table1[[#This Row],[unique-clicks]]/Table1[[#This Row],[unique-sends]],1))
 - ((Table1[[#This Row],[unsub]]/Table1[[#This Row],[unique-sends]]*100)*2)</f>
        <v>50.899311888787274</v>
      </c>
      <c r="P123" s="11" t="str">
        <f>IF(Table1[[#This Row],[Engagement Score]]&lt;30,"🔴",IF(Table1[[#This Row],[Engagement Score]]&lt;40,"🟡","🟢"))</f>
        <v>🟢</v>
      </c>
      <c r="Q123" s="14">
        <v>76.7</v>
      </c>
      <c r="R123" s="14">
        <v>15.2</v>
      </c>
      <c r="S123" s="14">
        <v>8.1999999999999993</v>
      </c>
      <c r="T123" s="20" t="s">
        <v>132</v>
      </c>
    </row>
    <row r="124" spans="1:20" ht="32.1" customHeight="1">
      <c r="A124" s="14">
        <v>58</v>
      </c>
      <c r="B124" s="17" t="s">
        <v>133</v>
      </c>
      <c r="C124" s="65">
        <v>45901</v>
      </c>
      <c r="D124" s="79" t="s">
        <v>21</v>
      </c>
      <c r="E124" s="79" t="s">
        <v>69</v>
      </c>
      <c r="F124" s="8" t="s">
        <v>27</v>
      </c>
      <c r="G124" s="10">
        <v>1096</v>
      </c>
      <c r="H124" s="8">
        <v>668</v>
      </c>
      <c r="I124" s="6">
        <v>119</v>
      </c>
      <c r="J124" s="8">
        <v>0</v>
      </c>
      <c r="K124" s="71">
        <f>(Table1[[#This Row],[unsub]]/Table1[[#This Row],[unique-sends]])*100</f>
        <v>0</v>
      </c>
      <c r="L124" s="72">
        <f>Table1[[#This Row],[unique-opens]] / Table1[[#This Row],[unique-sends]] * 100</f>
        <v>60.948905109489047</v>
      </c>
      <c r="M124" s="73">
        <f>Table1[[#This Row],[unique-clicks]] / Table1[[#This Row],[unique-sends]] * 100</f>
        <v>10.857664233576642</v>
      </c>
      <c r="N124" s="73">
        <f>Table1[[#This Row],[unique-clicks]] / Table1[[#This Row],[unique-opens]] * 100</f>
        <v>17.814371257485028</v>
      </c>
      <c r="O124" s="73">
        <f>(MIN(Table1[[#This Row],[unique-opens]]/Table1[[#This Row],[unique-sends]],1)*50
 + MIN(Table1[[#This Row],[unique-clicks]]/Table1[[#This Row],[unique-sends]],1)*50)
 * (1 + MIN(Table1[[#This Row],[unique-clicks]]/Table1[[#This Row],[unique-sends]],1))
 - ((Table1[[#This Row],[unsub]]/Table1[[#This Row],[unique-sends]]*100)*2)</f>
        <v>39.80154276999307</v>
      </c>
      <c r="P124" s="11" t="str">
        <f>IF(Table1[[#This Row],[Engagement Score]]&lt;30,"🔴",IF(Table1[[#This Row],[Engagement Score]]&lt;40,"🟡","🟢"))</f>
        <v>🟡</v>
      </c>
      <c r="Q124" s="14">
        <v>72.7</v>
      </c>
      <c r="R124" s="14">
        <v>18.2</v>
      </c>
      <c r="S124" s="14">
        <v>9.1</v>
      </c>
      <c r="T124" s="18" t="s">
        <v>134</v>
      </c>
    </row>
    <row r="125" spans="1:20" ht="32.1" customHeight="1">
      <c r="A125" s="14">
        <v>30</v>
      </c>
      <c r="B125" s="21" t="s">
        <v>135</v>
      </c>
      <c r="C125" s="66">
        <v>45902</v>
      </c>
      <c r="D125" s="80" t="s">
        <v>21</v>
      </c>
      <c r="E125" s="80" t="s">
        <v>26</v>
      </c>
      <c r="F125" s="14" t="s">
        <v>27</v>
      </c>
      <c r="G125" s="16">
        <v>2169</v>
      </c>
      <c r="H125" s="14">
        <v>1239</v>
      </c>
      <c r="I125" s="15">
        <v>32</v>
      </c>
      <c r="J125" s="14">
        <v>1</v>
      </c>
      <c r="K125" s="71">
        <f>(Table1[[#This Row],[unsub]]/Table1[[#This Row],[unique-sends]])*100</f>
        <v>4.6104195481788839E-2</v>
      </c>
      <c r="L125" s="72">
        <f>Table1[[#This Row],[unique-opens]] / Table1[[#This Row],[unique-sends]] * 100</f>
        <v>57.123098201936372</v>
      </c>
      <c r="M125" s="73">
        <f>Table1[[#This Row],[unique-clicks]] / Table1[[#This Row],[unique-sends]] * 100</f>
        <v>1.4753342554172428</v>
      </c>
      <c r="N125" s="73">
        <f>Table1[[#This Row],[unique-clicks]] / Table1[[#This Row],[unique-opens]] * 100</f>
        <v>2.5827280064568199</v>
      </c>
      <c r="O125" s="73">
        <f>(MIN(Table1[[#This Row],[unique-opens]]/Table1[[#This Row],[unique-sends]],1)*50
 + MIN(Table1[[#This Row],[unique-clicks]]/Table1[[#This Row],[unique-sends]],1)*50)
 * (1 + MIN(Table1[[#This Row],[unique-clicks]]/Table1[[#This Row],[unique-sends]],1))
 - ((Table1[[#This Row],[unsub]]/Table1[[#This Row],[unique-sends]]*100)*2)</f>
        <v>29.639269211303667</v>
      </c>
      <c r="P125" s="11" t="str">
        <f>IF(Table1[[#This Row],[Engagement Score]]&lt;30,"🔴",IF(Table1[[#This Row],[Engagement Score]]&lt;40,"🟡","🟢"))</f>
        <v>🔴</v>
      </c>
      <c r="Q125" s="14">
        <v>74.599999999999994</v>
      </c>
      <c r="R125" s="14">
        <v>15.6</v>
      </c>
      <c r="S125" s="14">
        <v>9.8000000000000007</v>
      </c>
      <c r="T125" s="20" t="s">
        <v>90</v>
      </c>
    </row>
    <row r="126" spans="1:20" ht="32.1" customHeight="1">
      <c r="A126" s="14">
        <v>31</v>
      </c>
      <c r="B126" s="17" t="s">
        <v>136</v>
      </c>
      <c r="C126" s="65">
        <v>45902</v>
      </c>
      <c r="D126" s="79" t="s">
        <v>29</v>
      </c>
      <c r="E126" s="79" t="s">
        <v>26</v>
      </c>
      <c r="F126" s="8" t="s">
        <v>27</v>
      </c>
      <c r="G126" s="10">
        <v>6210</v>
      </c>
      <c r="H126" s="8">
        <v>2345</v>
      </c>
      <c r="I126" s="6">
        <v>37</v>
      </c>
      <c r="J126" s="8">
        <v>1</v>
      </c>
      <c r="K126" s="71">
        <f>(Table1[[#This Row],[unsub]]/Table1[[#This Row],[unique-sends]])*100</f>
        <v>1.6103059581320453E-2</v>
      </c>
      <c r="L126" s="72">
        <f>Table1[[#This Row],[unique-opens]] / Table1[[#This Row],[unique-sends]] * 100</f>
        <v>37.76167471819646</v>
      </c>
      <c r="M126" s="73">
        <f>Table1[[#This Row],[unique-clicks]] / Table1[[#This Row],[unique-sends]] * 100</f>
        <v>0.59581320450885666</v>
      </c>
      <c r="N126" s="73">
        <f>Table1[[#This Row],[unique-clicks]] / Table1[[#This Row],[unique-opens]] * 100</f>
        <v>1.5778251599147122</v>
      </c>
      <c r="O126" s="73">
        <f>(MIN(Table1[[#This Row],[unique-opens]]/Table1[[#This Row],[unique-sends]],1)*50
 + MIN(Table1[[#This Row],[unique-clicks]]/Table1[[#This Row],[unique-sends]],1)*50)
 * (1 + MIN(Table1[[#This Row],[unique-clicks]]/Table1[[#This Row],[unique-sends]],1))
 - ((Table1[[#This Row],[unsub]]/Table1[[#This Row],[unique-sends]]*100)*2)</f>
        <v>19.260807331170703</v>
      </c>
      <c r="P126" s="11" t="str">
        <f>IF(Table1[[#This Row],[Engagement Score]]&lt;30,"🔴",IF(Table1[[#This Row],[Engagement Score]]&lt;40,"🟡","🟢"))</f>
        <v>🔴</v>
      </c>
      <c r="Q126" s="14">
        <v>66.7</v>
      </c>
      <c r="R126" s="14">
        <v>17.600000000000001</v>
      </c>
      <c r="S126" s="14">
        <v>15.7</v>
      </c>
      <c r="T126" s="18" t="s">
        <v>137</v>
      </c>
    </row>
    <row r="127" spans="1:20" ht="32.1" customHeight="1">
      <c r="A127" s="14">
        <v>65</v>
      </c>
      <c r="B127" s="17" t="s">
        <v>138</v>
      </c>
      <c r="C127" s="65">
        <v>45902</v>
      </c>
      <c r="D127" s="80" t="s">
        <v>29</v>
      </c>
      <c r="E127" s="79" t="s">
        <v>69</v>
      </c>
      <c r="F127" s="9" t="s">
        <v>27</v>
      </c>
      <c r="G127" s="10">
        <v>1070</v>
      </c>
      <c r="H127" s="8">
        <v>627</v>
      </c>
      <c r="I127" s="6">
        <v>58</v>
      </c>
      <c r="J127" s="8">
        <v>0</v>
      </c>
      <c r="K127" s="71">
        <f>(Table1[[#This Row],[unsub]]/Table1[[#This Row],[unique-sends]])*100</f>
        <v>0</v>
      </c>
      <c r="L127" s="72">
        <f>Table1[[#This Row],[unique-opens]] / Table1[[#This Row],[unique-sends]] * 100</f>
        <v>58.598130841121495</v>
      </c>
      <c r="M127" s="73">
        <f>Table1[[#This Row],[unique-clicks]] / Table1[[#This Row],[unique-sends]] * 100</f>
        <v>5.4205607476635516</v>
      </c>
      <c r="N127" s="73">
        <f>Table1[[#This Row],[unique-clicks]] / Table1[[#This Row],[unique-opens]] * 100</f>
        <v>9.2503987240829346</v>
      </c>
      <c r="O127" s="73">
        <f>(MIN(Table1[[#This Row],[unique-opens]]/Table1[[#This Row],[unique-sends]],1)*50
 + MIN(Table1[[#This Row],[unique-clicks]]/Table1[[#This Row],[unique-sends]],1)*50)
 * (1 + MIN(Table1[[#This Row],[unique-clicks]]/Table1[[#This Row],[unique-sends]],1))
 - ((Table1[[#This Row],[unsub]]/Table1[[#This Row],[unique-sends]]*100)*2)</f>
        <v>33.74443182810726</v>
      </c>
      <c r="P127" s="11" t="str">
        <f>IF(Table1[[#This Row],[Engagement Score]]&lt;30,"🔴",IF(Table1[[#This Row],[Engagement Score]]&lt;40,"🟡","🟢"))</f>
        <v>🟡</v>
      </c>
      <c r="Q127" s="14">
        <v>66.5</v>
      </c>
      <c r="R127" s="14">
        <v>18.100000000000001</v>
      </c>
      <c r="S127" s="14">
        <v>15.4</v>
      </c>
      <c r="T127" s="18" t="s">
        <v>139</v>
      </c>
    </row>
    <row r="128" spans="1:20" ht="32.1" customHeight="1">
      <c r="A128" s="14">
        <v>30</v>
      </c>
      <c r="B128" s="17" t="s">
        <v>140</v>
      </c>
      <c r="C128" s="65">
        <v>45903</v>
      </c>
      <c r="D128" s="80" t="s">
        <v>29</v>
      </c>
      <c r="E128" s="79" t="s">
        <v>26</v>
      </c>
      <c r="F128" s="9" t="s">
        <v>27</v>
      </c>
      <c r="G128" s="14">
        <v>962</v>
      </c>
      <c r="H128" s="14">
        <v>585</v>
      </c>
      <c r="I128" s="15">
        <v>33</v>
      </c>
      <c r="J128" s="14">
        <v>0</v>
      </c>
      <c r="K128" s="71">
        <f>(Table1[[#This Row],[unsub]]/Table1[[#This Row],[unique-sends]])*100</f>
        <v>0</v>
      </c>
      <c r="L128" s="72">
        <f>Table1[[#This Row],[unique-opens]] / Table1[[#This Row],[unique-sends]] * 100</f>
        <v>60.810810810810814</v>
      </c>
      <c r="M128" s="73">
        <f>Table1[[#This Row],[unique-clicks]] / Table1[[#This Row],[unique-sends]] * 100</f>
        <v>3.4303534303534304</v>
      </c>
      <c r="N128" s="73">
        <f>Table1[[#This Row],[unique-clicks]] / Table1[[#This Row],[unique-opens]] * 100</f>
        <v>5.6410256410256414</v>
      </c>
      <c r="O128" s="73">
        <f>(MIN(Table1[[#This Row],[unique-opens]]/Table1[[#This Row],[unique-sends]],1)*50
 + MIN(Table1[[#This Row],[unique-clicks]]/Table1[[#This Row],[unique-sends]],1)*50)
 * (1 + MIN(Table1[[#This Row],[unique-clicks]]/Table1[[#This Row],[unique-sends]],1))
 - ((Table1[[#This Row],[unsub]]/Table1[[#This Row],[unique-sends]]*100)*2)</f>
        <v>33.222431611204996</v>
      </c>
      <c r="P128" s="11" t="str">
        <f>IF(Table1[[#This Row],[Engagement Score]]&lt;30,"🔴",IF(Table1[[#This Row],[Engagement Score]]&lt;40,"🟡","🟢"))</f>
        <v>🟡</v>
      </c>
      <c r="Q128" s="14">
        <v>69</v>
      </c>
      <c r="R128" s="14">
        <v>15.5</v>
      </c>
      <c r="S128" s="14">
        <v>15.5</v>
      </c>
      <c r="T128" s="20" t="s">
        <v>141</v>
      </c>
    </row>
    <row r="129" spans="1:20" ht="32.1" customHeight="1">
      <c r="A129" s="14">
        <v>30</v>
      </c>
      <c r="B129" s="17" t="s">
        <v>140</v>
      </c>
      <c r="C129" s="66">
        <v>45903</v>
      </c>
      <c r="D129" s="80" t="s">
        <v>21</v>
      </c>
      <c r="E129" s="80" t="s">
        <v>26</v>
      </c>
      <c r="F129" s="14" t="s">
        <v>27</v>
      </c>
      <c r="G129" s="16">
        <v>12709</v>
      </c>
      <c r="H129" s="14">
        <v>7160</v>
      </c>
      <c r="I129" s="15">
        <v>433</v>
      </c>
      <c r="J129" s="14">
        <v>18</v>
      </c>
      <c r="K129" s="71">
        <f>(Table1[[#This Row],[unsub]]/Table1[[#This Row],[unique-sends]])*100</f>
        <v>0.14163191439137618</v>
      </c>
      <c r="L129" s="72">
        <f>Table1[[#This Row],[unique-opens]] / Table1[[#This Row],[unique-sends]] * 100</f>
        <v>56.338028169014088</v>
      </c>
      <c r="M129" s="73">
        <f>Table1[[#This Row],[unique-clicks]] / Table1[[#This Row],[unique-sends]] * 100</f>
        <v>3.4070343850814382</v>
      </c>
      <c r="N129" s="73">
        <f>Table1[[#This Row],[unique-clicks]] / Table1[[#This Row],[unique-opens]] * 100</f>
        <v>6.0474860335195526</v>
      </c>
      <c r="O129" s="73">
        <f>(MIN(Table1[[#This Row],[unique-opens]]/Table1[[#This Row],[unique-sends]],1)*50
 + MIN(Table1[[#This Row],[unique-clicks]]/Table1[[#This Row],[unique-sends]],1)*50)
 * (1 + MIN(Table1[[#This Row],[unique-clicks]]/Table1[[#This Row],[unique-sends]],1))
 - ((Table1[[#This Row],[unsub]]/Table1[[#This Row],[unique-sends]]*100)*2)</f>
        <v>30.607034860568234</v>
      </c>
      <c r="P129" s="11" t="str">
        <f>IF(Table1[[#This Row],[Engagement Score]]&lt;30,"🔴",IF(Table1[[#This Row],[Engagement Score]]&lt;40,"🟡","🟢"))</f>
        <v>🟡</v>
      </c>
      <c r="Q129" s="14">
        <v>69.8</v>
      </c>
      <c r="R129" s="14">
        <v>17.100000000000001</v>
      </c>
      <c r="S129" s="14">
        <v>13.1</v>
      </c>
      <c r="T129" s="20" t="s">
        <v>142</v>
      </c>
    </row>
    <row r="130" spans="1:20" ht="32.1" customHeight="1">
      <c r="A130" s="14">
        <v>56</v>
      </c>
      <c r="B130" s="17" t="s">
        <v>143</v>
      </c>
      <c r="C130" s="65">
        <v>45904</v>
      </c>
      <c r="D130" s="79" t="s">
        <v>21</v>
      </c>
      <c r="E130" s="79" t="s">
        <v>69</v>
      </c>
      <c r="F130" s="8" t="s">
        <v>27</v>
      </c>
      <c r="G130" s="16">
        <v>116700</v>
      </c>
      <c r="H130" s="14">
        <v>72900</v>
      </c>
      <c r="I130" s="15">
        <v>7638</v>
      </c>
      <c r="J130" s="14">
        <v>126</v>
      </c>
      <c r="K130" s="71">
        <f>(Table1[[#This Row],[unsub]]/Table1[[#This Row],[unique-sends]])*100</f>
        <v>0.10796915167095116</v>
      </c>
      <c r="L130" s="72">
        <f>Table1[[#This Row],[unique-opens]] / Table1[[#This Row],[unique-sends]] * 100</f>
        <v>62.467866323907451</v>
      </c>
      <c r="M130" s="73">
        <f>Table1[[#This Row],[unique-clicks]] / Table1[[#This Row],[unique-sends]] * 100</f>
        <v>6.5449871465295626</v>
      </c>
      <c r="N130" s="73">
        <f>Table1[[#This Row],[unique-clicks]] / Table1[[#This Row],[unique-opens]] * 100</f>
        <v>10.477366255144032</v>
      </c>
      <c r="O130" s="73">
        <f>(MIN(Table1[[#This Row],[unique-opens]]/Table1[[#This Row],[unique-sends]],1)*50
 + MIN(Table1[[#This Row],[unique-clicks]]/Table1[[#This Row],[unique-sends]],1)*50)
 * (1 + MIN(Table1[[#This Row],[unique-clicks]]/Table1[[#This Row],[unique-sends]],1))
 - ((Table1[[#This Row],[unsub]]/Table1[[#This Row],[unique-sends]]*100)*2)</f>
        <v>36.548929626423295</v>
      </c>
      <c r="P130" s="11" t="str">
        <f>IF(Table1[[#This Row],[Engagement Score]]&lt;30,"🔴",IF(Table1[[#This Row],[Engagement Score]]&lt;40,"🟡","🟢"))</f>
        <v>🟡</v>
      </c>
      <c r="Q130" s="14">
        <v>72.8</v>
      </c>
      <c r="R130" s="14">
        <v>16.899999999999999</v>
      </c>
      <c r="S130" s="14">
        <v>10.3</v>
      </c>
      <c r="T130" s="20" t="s">
        <v>144</v>
      </c>
    </row>
    <row r="131" spans="1:20" ht="32.1" customHeight="1">
      <c r="A131" s="14">
        <v>59</v>
      </c>
      <c r="B131" s="17" t="s">
        <v>145</v>
      </c>
      <c r="C131" s="66">
        <v>45904</v>
      </c>
      <c r="D131" s="80" t="s">
        <v>21</v>
      </c>
      <c r="E131" s="80" t="s">
        <v>69</v>
      </c>
      <c r="F131" s="14" t="s">
        <v>27</v>
      </c>
      <c r="G131" s="16">
        <v>112606</v>
      </c>
      <c r="H131" s="14">
        <v>72960</v>
      </c>
      <c r="I131" s="15">
        <v>879</v>
      </c>
      <c r="J131" s="14">
        <v>230</v>
      </c>
      <c r="K131" s="71">
        <f>(Table1[[#This Row],[unsub]]/Table1[[#This Row],[unique-sends]])*100</f>
        <v>0.2042519936770687</v>
      </c>
      <c r="L131" s="72">
        <f>Table1[[#This Row],[unique-opens]] / Table1[[#This Row],[unique-sends]] * 100</f>
        <v>64.792284602951895</v>
      </c>
      <c r="M131" s="73">
        <f>Table1[[#This Row],[unique-clicks]] / Table1[[#This Row],[unique-sends]] * 100</f>
        <v>0.78059783670497129</v>
      </c>
      <c r="N131" s="73">
        <f>Table1[[#This Row],[unique-clicks]] / Table1[[#This Row],[unique-opens]] * 100</f>
        <v>1.2047697368421051</v>
      </c>
      <c r="O131" s="73">
        <f>(MIN(Table1[[#This Row],[unique-opens]]/Table1[[#This Row],[unique-sends]],1)*50
 + MIN(Table1[[#This Row],[unique-clicks]]/Table1[[#This Row],[unique-sends]],1)*50)
 * (1 + MIN(Table1[[#This Row],[unique-clicks]]/Table1[[#This Row],[unique-sends]],1))
 - ((Table1[[#This Row],[unsub]]/Table1[[#This Row],[unique-sends]]*100)*2)</f>
        <v>32.633867483368824</v>
      </c>
      <c r="P131" s="11" t="str">
        <f>IF(Table1[[#This Row],[Engagement Score]]&lt;30,"🔴",IF(Table1[[#This Row],[Engagement Score]]&lt;40,"🟡","🟢"))</f>
        <v>🟡</v>
      </c>
      <c r="Q131" s="14">
        <v>63.2</v>
      </c>
      <c r="R131" s="14">
        <v>15.4</v>
      </c>
      <c r="S131" s="14">
        <v>21.4</v>
      </c>
      <c r="T131" s="20" t="s">
        <v>146</v>
      </c>
    </row>
    <row r="132" spans="1:20" ht="32.1" customHeight="1">
      <c r="A132" s="14">
        <v>60</v>
      </c>
      <c r="B132" s="17" t="s">
        <v>147</v>
      </c>
      <c r="C132" s="65">
        <v>45904</v>
      </c>
      <c r="D132" s="79" t="s">
        <v>21</v>
      </c>
      <c r="E132" s="79" t="s">
        <v>69</v>
      </c>
      <c r="F132" s="8" t="s">
        <v>27</v>
      </c>
      <c r="G132" s="16">
        <v>165769</v>
      </c>
      <c r="H132" s="14">
        <v>95579</v>
      </c>
      <c r="I132" s="15">
        <v>4168</v>
      </c>
      <c r="J132" s="14">
        <v>394</v>
      </c>
      <c r="K132" s="71">
        <f>(Table1[[#This Row],[unsub]]/Table1[[#This Row],[unique-sends]])*100</f>
        <v>0.23768014526238321</v>
      </c>
      <c r="L132" s="72">
        <f>Table1[[#This Row],[unique-opens]] / Table1[[#This Row],[unique-sends]] * 100</f>
        <v>57.657945695516041</v>
      </c>
      <c r="M132" s="73">
        <f>Table1[[#This Row],[unique-clicks]] / Table1[[#This Row],[unique-sends]] * 100</f>
        <v>2.5143422473441959</v>
      </c>
      <c r="N132" s="73">
        <f>Table1[[#This Row],[unique-clicks]] / Table1[[#This Row],[unique-opens]] * 100</f>
        <v>4.3607905502254676</v>
      </c>
      <c r="O132" s="73">
        <f>(MIN(Table1[[#This Row],[unique-opens]]/Table1[[#This Row],[unique-sends]],1)*50
 + MIN(Table1[[#This Row],[unique-clicks]]/Table1[[#This Row],[unique-sends]],1)*50)
 * (1 + MIN(Table1[[#This Row],[unique-clicks]]/Table1[[#This Row],[unique-sends]],1))
 - ((Table1[[#This Row],[unsub]]/Table1[[#This Row],[unique-sends]]*100)*2)</f>
        <v>30.367252309375818</v>
      </c>
      <c r="P132" s="11" t="str">
        <f>IF(Table1[[#This Row],[Engagement Score]]&lt;30,"🔴",IF(Table1[[#This Row],[Engagement Score]]&lt;40,"🟡","🟢"))</f>
        <v>🟡</v>
      </c>
      <c r="Q132" s="14">
        <v>75.099999999999994</v>
      </c>
      <c r="R132" s="14">
        <v>15.8</v>
      </c>
      <c r="S132" s="14">
        <v>9.1</v>
      </c>
      <c r="T132" s="20" t="s">
        <v>148</v>
      </c>
    </row>
    <row r="133" spans="1:20" ht="32.1" customHeight="1">
      <c r="A133" s="14">
        <v>78</v>
      </c>
      <c r="B133" s="17" t="s">
        <v>149</v>
      </c>
      <c r="C133" s="66">
        <v>45905</v>
      </c>
      <c r="D133" s="80" t="s">
        <v>21</v>
      </c>
      <c r="E133" s="80" t="s">
        <v>98</v>
      </c>
      <c r="F133" s="14" t="s">
        <v>27</v>
      </c>
      <c r="G133" s="10">
        <v>28839</v>
      </c>
      <c r="H133" s="8">
        <v>11740</v>
      </c>
      <c r="I133" s="6">
        <v>532</v>
      </c>
      <c r="J133" s="8">
        <v>46</v>
      </c>
      <c r="K133" s="71">
        <f>(Table1[[#This Row],[unsub]]/Table1[[#This Row],[unique-sends]])*100</f>
        <v>0.1595062242102708</v>
      </c>
      <c r="L133" s="72">
        <f>Table1[[#This Row],[unique-opens]] / Table1[[#This Row],[unique-sends]] * 100</f>
        <v>40.70876243975173</v>
      </c>
      <c r="M133" s="73">
        <f>Table1[[#This Row],[unique-clicks]] / Table1[[#This Row],[unique-sends]] * 100</f>
        <v>1.8447241582579148</v>
      </c>
      <c r="N133" s="73">
        <f>Table1[[#This Row],[unique-clicks]] / Table1[[#This Row],[unique-opens]] * 100</f>
        <v>4.5315161839863709</v>
      </c>
      <c r="O133" s="73">
        <f>(MIN(Table1[[#This Row],[unique-opens]]/Table1[[#This Row],[unique-sends]],1)*50
 + MIN(Table1[[#This Row],[unique-clicks]]/Table1[[#This Row],[unique-sends]],1)*50)
 * (1 + MIN(Table1[[#This Row],[unique-clicks]]/Table1[[#This Row],[unique-sends]],1))
 - ((Table1[[#This Row],[unsub]]/Table1[[#This Row],[unique-sends]]*100)*2)</f>
        <v>21.350228074311548</v>
      </c>
      <c r="P133" s="11" t="str">
        <f>IF(Table1[[#This Row],[Engagement Score]]&lt;30,"🔴",IF(Table1[[#This Row],[Engagement Score]]&lt;40,"🟡","🟢"))</f>
        <v>🔴</v>
      </c>
      <c r="Q133" s="14">
        <v>66.599999999999994</v>
      </c>
      <c r="R133" s="14">
        <v>20.2</v>
      </c>
      <c r="S133" s="14">
        <v>13.2</v>
      </c>
      <c r="T133" s="18" t="s">
        <v>150</v>
      </c>
    </row>
    <row r="134" spans="1:20" ht="32.1" customHeight="1">
      <c r="A134" s="14">
        <v>56</v>
      </c>
      <c r="B134" s="17" t="s">
        <v>151</v>
      </c>
      <c r="C134" s="66">
        <v>45908</v>
      </c>
      <c r="D134" s="80" t="s">
        <v>21</v>
      </c>
      <c r="E134" s="80" t="s">
        <v>69</v>
      </c>
      <c r="F134" s="14" t="s">
        <v>27</v>
      </c>
      <c r="G134" s="10">
        <v>38965</v>
      </c>
      <c r="H134" s="8">
        <v>19179</v>
      </c>
      <c r="I134" s="6">
        <v>2172</v>
      </c>
      <c r="J134" s="8">
        <v>0</v>
      </c>
      <c r="K134" s="71">
        <f>(Table1[[#This Row],[unsub]]/Table1[[#This Row],[unique-sends]])*100</f>
        <v>0</v>
      </c>
      <c r="L134" s="72">
        <f>Table1[[#This Row],[unique-opens]] / Table1[[#This Row],[unique-sends]] * 100</f>
        <v>49.221095855254717</v>
      </c>
      <c r="M134" s="73">
        <f>Table1[[#This Row],[unique-clicks]] / Table1[[#This Row],[unique-sends]] * 100</f>
        <v>5.5742332862825617</v>
      </c>
      <c r="N134" s="73">
        <f>Table1[[#This Row],[unique-clicks]] / Table1[[#This Row],[unique-opens]] * 100</f>
        <v>11.324886594712966</v>
      </c>
      <c r="O134" s="73">
        <f>(MIN(Table1[[#This Row],[unique-opens]]/Table1[[#This Row],[unique-sends]],1)*50
 + MIN(Table1[[#This Row],[unique-clicks]]/Table1[[#This Row],[unique-sends]],1)*50)
 * (1 + MIN(Table1[[#This Row],[unique-clicks]]/Table1[[#This Row],[unique-sends]],1))
 - ((Table1[[#This Row],[unsub]]/Table1[[#This Row],[unique-sends]]*100)*2)</f>
        <v>28.924874308936474</v>
      </c>
      <c r="P134" s="11" t="str">
        <f>IF(Table1[[#This Row],[Engagement Score]]&lt;30,"🔴",IF(Table1[[#This Row],[Engagement Score]]&lt;40,"🟡","🟢"))</f>
        <v>🔴</v>
      </c>
      <c r="Q134" s="14">
        <v>72.8</v>
      </c>
      <c r="R134" s="14">
        <v>16.899999999999999</v>
      </c>
      <c r="S134" s="14">
        <v>10.3</v>
      </c>
      <c r="T134" s="18" t="s">
        <v>144</v>
      </c>
    </row>
    <row r="135" spans="1:20" ht="32.1" customHeight="1">
      <c r="A135" s="14">
        <v>59</v>
      </c>
      <c r="B135" s="13" t="s">
        <v>152</v>
      </c>
      <c r="C135" s="66">
        <v>45908</v>
      </c>
      <c r="D135" s="80" t="s">
        <v>21</v>
      </c>
      <c r="E135" s="80" t="s">
        <v>69</v>
      </c>
      <c r="F135" s="14" t="s">
        <v>27</v>
      </c>
      <c r="G135" s="10">
        <v>35855</v>
      </c>
      <c r="H135" s="8">
        <v>13299</v>
      </c>
      <c r="I135" s="6">
        <v>208</v>
      </c>
      <c r="J135" s="8">
        <v>0</v>
      </c>
      <c r="K135" s="71">
        <f>(Table1[[#This Row],[unsub]]/Table1[[#This Row],[unique-sends]])*100</f>
        <v>0</v>
      </c>
      <c r="L135" s="72">
        <f>Table1[[#This Row],[unique-opens]] / Table1[[#This Row],[unique-sends]] * 100</f>
        <v>37.09106121879794</v>
      </c>
      <c r="M135" s="73">
        <f>Table1[[#This Row],[unique-clicks]] / Table1[[#This Row],[unique-sends]] * 100</f>
        <v>0.58011434946311535</v>
      </c>
      <c r="N135" s="73">
        <f>Table1[[#This Row],[unique-clicks]] / Table1[[#This Row],[unique-opens]] * 100</f>
        <v>1.5640273704789833</v>
      </c>
      <c r="O135" s="73">
        <f>(MIN(Table1[[#This Row],[unique-opens]]/Table1[[#This Row],[unique-sends]],1)*50
 + MIN(Table1[[#This Row],[unique-clicks]]/Table1[[#This Row],[unique-sends]],1)*50)
 * (1 + MIN(Table1[[#This Row],[unique-clicks]]/Table1[[#This Row],[unique-sends]],1))
 - ((Table1[[#This Row],[unsub]]/Table1[[#This Row],[unique-sends]]*100)*2)</f>
        <v>18.944855731671993</v>
      </c>
      <c r="P135" s="11" t="str">
        <f>IF(Table1[[#This Row],[Engagement Score]]&lt;30,"🔴",IF(Table1[[#This Row],[Engagement Score]]&lt;40,"🟡","🟢"))</f>
        <v>🔴</v>
      </c>
      <c r="Q135" s="14">
        <v>63.2</v>
      </c>
      <c r="R135" s="14">
        <v>15.4</v>
      </c>
      <c r="S135" s="14">
        <v>21.4</v>
      </c>
      <c r="T135" s="18" t="s">
        <v>146</v>
      </c>
    </row>
    <row r="136" spans="1:20" ht="32.1" customHeight="1">
      <c r="A136" s="14">
        <v>60</v>
      </c>
      <c r="B136" s="13" t="s">
        <v>153</v>
      </c>
      <c r="C136" s="66">
        <v>45908</v>
      </c>
      <c r="D136" s="80" t="s">
        <v>21</v>
      </c>
      <c r="E136" s="80" t="s">
        <v>69</v>
      </c>
      <c r="F136" s="14" t="s">
        <v>27</v>
      </c>
      <c r="G136" s="10">
        <v>104946</v>
      </c>
      <c r="H136" s="8">
        <v>42484</v>
      </c>
      <c r="I136" s="6">
        <v>1687</v>
      </c>
      <c r="J136" s="8">
        <v>0</v>
      </c>
      <c r="K136" s="71">
        <f>(Table1[[#This Row],[unsub]]/Table1[[#This Row],[unique-sends]])*100</f>
        <v>0</v>
      </c>
      <c r="L136" s="72">
        <f>Table1[[#This Row],[unique-opens]] / Table1[[#This Row],[unique-sends]] * 100</f>
        <v>40.481771577763801</v>
      </c>
      <c r="M136" s="73">
        <f>Table1[[#This Row],[unique-clicks]] / Table1[[#This Row],[unique-sends]] * 100</f>
        <v>1.6074933775465476</v>
      </c>
      <c r="N136" s="73">
        <f>Table1[[#This Row],[unique-clicks]] / Table1[[#This Row],[unique-opens]] * 100</f>
        <v>3.9709066942849072</v>
      </c>
      <c r="O136" s="73">
        <f>(MIN(Table1[[#This Row],[unique-opens]]/Table1[[#This Row],[unique-sends]],1)*50
 + MIN(Table1[[#This Row],[unique-clicks]]/Table1[[#This Row],[unique-sends]],1)*50)
 * (1 + MIN(Table1[[#This Row],[unique-clicks]]/Table1[[#This Row],[unique-sends]],1))
 - ((Table1[[#This Row],[unsub]]/Table1[[#This Row],[unique-sends]]*100)*2)</f>
        <v>21.382923551062493</v>
      </c>
      <c r="P136" s="11" t="str">
        <f>IF(Table1[[#This Row],[Engagement Score]]&lt;30,"🔴",IF(Table1[[#This Row],[Engagement Score]]&lt;40,"🟡","🟢"))</f>
        <v>🔴</v>
      </c>
      <c r="Q136" s="14">
        <v>75.099999999999994</v>
      </c>
      <c r="R136" s="14">
        <v>15.8</v>
      </c>
      <c r="S136" s="14">
        <v>9.1</v>
      </c>
      <c r="T136" s="18" t="s">
        <v>148</v>
      </c>
    </row>
    <row r="137" spans="1:20" ht="32.1" customHeight="1">
      <c r="A137" s="14">
        <v>31</v>
      </c>
      <c r="B137" s="17" t="s">
        <v>154</v>
      </c>
      <c r="C137" s="66">
        <v>45909</v>
      </c>
      <c r="D137" s="80" t="s">
        <v>29</v>
      </c>
      <c r="E137" s="80" t="s">
        <v>26</v>
      </c>
      <c r="F137" s="14" t="s">
        <v>27</v>
      </c>
      <c r="G137" s="16">
        <v>1813</v>
      </c>
      <c r="H137" s="14">
        <v>1165</v>
      </c>
      <c r="I137" s="15">
        <v>70</v>
      </c>
      <c r="J137" s="14">
        <v>0</v>
      </c>
      <c r="K137" s="71">
        <f>(Table1[[#This Row],[unsub]]/Table1[[#This Row],[unique-sends]])*100</f>
        <v>0</v>
      </c>
      <c r="L137" s="72">
        <f>Table1[[#This Row],[unique-opens]] / Table1[[#This Row],[unique-sends]] * 100</f>
        <v>64.258135686707121</v>
      </c>
      <c r="M137" s="73">
        <f>Table1[[#This Row],[unique-clicks]] / Table1[[#This Row],[unique-sends]] * 100</f>
        <v>3.8610038610038608</v>
      </c>
      <c r="N137" s="73">
        <f>Table1[[#This Row],[unique-clicks]] / Table1[[#This Row],[unique-opens]] * 100</f>
        <v>6.0085836909871242</v>
      </c>
      <c r="O137" s="73">
        <f>(MIN(Table1[[#This Row],[unique-opens]]/Table1[[#This Row],[unique-sends]],1)*50
 + MIN(Table1[[#This Row],[unique-clicks]]/Table1[[#This Row],[unique-sends]],1)*50)
 * (1 + MIN(Table1[[#This Row],[unique-clicks]]/Table1[[#This Row],[unique-sends]],1))
 - ((Table1[[#This Row],[unsub]]/Table1[[#This Row],[unique-sends]]*100)*2)</f>
        <v>35.374611077865353</v>
      </c>
      <c r="P137" s="11" t="str">
        <f>IF(Table1[[#This Row],[Engagement Score]]&lt;30,"🔴",IF(Table1[[#This Row],[Engagement Score]]&lt;40,"🟡","🟢"))</f>
        <v>🟡</v>
      </c>
      <c r="Q137" s="14">
        <v>68.2</v>
      </c>
      <c r="R137" s="14">
        <v>17.600000000000001</v>
      </c>
      <c r="S137" s="14">
        <v>14.2</v>
      </c>
      <c r="T137" s="20" t="s">
        <v>96</v>
      </c>
    </row>
    <row r="138" spans="1:20" ht="32.1" customHeight="1">
      <c r="A138" s="14">
        <v>31</v>
      </c>
      <c r="B138" s="17" t="s">
        <v>154</v>
      </c>
      <c r="C138" s="66">
        <v>45909</v>
      </c>
      <c r="D138" s="80" t="s">
        <v>21</v>
      </c>
      <c r="E138" s="80" t="s">
        <v>26</v>
      </c>
      <c r="F138" s="14" t="s">
        <v>27</v>
      </c>
      <c r="G138" s="16">
        <v>13012</v>
      </c>
      <c r="H138" s="14">
        <v>7739</v>
      </c>
      <c r="I138" s="15">
        <v>386</v>
      </c>
      <c r="J138" s="14">
        <v>4</v>
      </c>
      <c r="K138" s="71">
        <f>(Table1[[#This Row],[unsub]]/Table1[[#This Row],[unique-sends]])*100</f>
        <v>3.0740854595757761E-2</v>
      </c>
      <c r="L138" s="72">
        <f>Table1[[#This Row],[unique-opens]] / Table1[[#This Row],[unique-sends]] * 100</f>
        <v>59.475868429142331</v>
      </c>
      <c r="M138" s="73">
        <f>Table1[[#This Row],[unique-clicks]] / Table1[[#This Row],[unique-sends]] * 100</f>
        <v>2.9664924684906242</v>
      </c>
      <c r="N138" s="73">
        <f>Table1[[#This Row],[unique-clicks]] / Table1[[#This Row],[unique-opens]] * 100</f>
        <v>4.98772451221088</v>
      </c>
      <c r="O138" s="73">
        <f>(MIN(Table1[[#This Row],[unique-opens]]/Table1[[#This Row],[unique-sends]],1)*50
 + MIN(Table1[[#This Row],[unique-clicks]]/Table1[[#This Row],[unique-sends]],1)*50)
 * (1 + MIN(Table1[[#This Row],[unique-clicks]]/Table1[[#This Row],[unique-sends]],1))
 - ((Table1[[#This Row],[unsub]]/Table1[[#This Row],[unique-sends]]*100)*2)</f>
        <v>32.085872706212967</v>
      </c>
      <c r="P138" s="11" t="str">
        <f>IF(Table1[[#This Row],[Engagement Score]]&lt;30,"🔴",IF(Table1[[#This Row],[Engagement Score]]&lt;40,"🟡","🟢"))</f>
        <v>🟡</v>
      </c>
      <c r="Q138" s="14">
        <v>64.400000000000006</v>
      </c>
      <c r="R138" s="14">
        <v>19.399999999999999</v>
      </c>
      <c r="S138" s="14">
        <v>11.2</v>
      </c>
      <c r="T138" s="20" t="s">
        <v>95</v>
      </c>
    </row>
    <row r="139" spans="1:20" ht="32.1" customHeight="1">
      <c r="A139" s="14">
        <v>78</v>
      </c>
      <c r="B139" s="17" t="s">
        <v>155</v>
      </c>
      <c r="C139" s="66">
        <v>45910</v>
      </c>
      <c r="D139" s="80" t="s">
        <v>21</v>
      </c>
      <c r="E139" s="80" t="s">
        <v>98</v>
      </c>
      <c r="F139" s="9" t="s">
        <v>27</v>
      </c>
      <c r="G139" s="10">
        <v>28561</v>
      </c>
      <c r="H139" s="8">
        <v>10937</v>
      </c>
      <c r="I139" s="6">
        <v>241</v>
      </c>
      <c r="J139" s="8">
        <v>34</v>
      </c>
      <c r="K139" s="71">
        <f>(Table1[[#This Row],[unsub]]/Table1[[#This Row],[unique-sends]])*100</f>
        <v>0.11904345085956373</v>
      </c>
      <c r="L139" s="72">
        <f>Table1[[#This Row],[unique-opens]] / Table1[[#This Row],[unique-sends]] * 100</f>
        <v>38.293477119148491</v>
      </c>
      <c r="M139" s="73">
        <f>Table1[[#This Row],[unique-clicks]] / Table1[[#This Row],[unique-sends]] * 100</f>
        <v>0.84380798991631945</v>
      </c>
      <c r="N139" s="73">
        <f>Table1[[#This Row],[unique-clicks]] / Table1[[#This Row],[unique-opens]] * 100</f>
        <v>2.203529304196763</v>
      </c>
      <c r="O139" s="73">
        <f>(MIN(Table1[[#This Row],[unique-opens]]/Table1[[#This Row],[unique-sends]],1)*50
 + MIN(Table1[[#This Row],[unique-clicks]]/Table1[[#This Row],[unique-sends]],1)*50)
 * (1 + MIN(Table1[[#This Row],[unique-clicks]]/Table1[[#This Row],[unique-sends]],1))
 - ((Table1[[#This Row],[unsub]]/Table1[[#This Row],[unique-sends]]*100)*2)</f>
        <v>19.495677422206587</v>
      </c>
      <c r="P139" s="11" t="str">
        <f>IF(Table1[[#This Row],[Engagement Score]]&lt;30,"🔴",IF(Table1[[#This Row],[Engagement Score]]&lt;40,"🟡","🟢"))</f>
        <v>🔴</v>
      </c>
      <c r="Q139" s="8">
        <v>66.099999999999994</v>
      </c>
      <c r="R139" s="8">
        <v>19.399999999999999</v>
      </c>
      <c r="S139" s="8">
        <v>14.5</v>
      </c>
      <c r="T139" s="18" t="s">
        <v>156</v>
      </c>
    </row>
    <row r="140" spans="1:20" ht="32.1" customHeight="1">
      <c r="A140" s="14">
        <v>51</v>
      </c>
      <c r="B140" s="17" t="s">
        <v>157</v>
      </c>
      <c r="C140" s="66">
        <v>45915</v>
      </c>
      <c r="D140" s="80" t="s">
        <v>29</v>
      </c>
      <c r="E140" s="80" t="s">
        <v>22</v>
      </c>
      <c r="F140" s="9" t="s">
        <v>23</v>
      </c>
      <c r="G140" s="14">
        <v>48</v>
      </c>
      <c r="H140" s="14">
        <v>20</v>
      </c>
      <c r="I140" s="15">
        <v>1</v>
      </c>
      <c r="J140" s="14">
        <v>0</v>
      </c>
      <c r="K140" s="71">
        <f>(Table1[[#This Row],[unsub]]/Table1[[#This Row],[unique-sends]])*100</f>
        <v>0</v>
      </c>
      <c r="L140" s="72">
        <f>Table1[[#This Row],[unique-opens]] / Table1[[#This Row],[unique-sends]] * 100</f>
        <v>41.666666666666671</v>
      </c>
      <c r="M140" s="73">
        <f>Table1[[#This Row],[unique-clicks]] / Table1[[#This Row],[unique-sends]] * 100</f>
        <v>2.083333333333333</v>
      </c>
      <c r="N140" s="73">
        <f>Table1[[#This Row],[unique-clicks]] / Table1[[#This Row],[unique-opens]] * 100</f>
        <v>5</v>
      </c>
      <c r="O140" s="73">
        <f>(MIN(Table1[[#This Row],[unique-opens]]/Table1[[#This Row],[unique-sends]],1)*50
 + MIN(Table1[[#This Row],[unique-clicks]]/Table1[[#This Row],[unique-sends]],1)*50)
 * (1 + MIN(Table1[[#This Row],[unique-clicks]]/Table1[[#This Row],[unique-sends]],1))
 - ((Table1[[#This Row],[unsub]]/Table1[[#This Row],[unique-sends]]*100)*2)</f>
        <v>22.330729166666668</v>
      </c>
      <c r="P140" s="11" t="str">
        <f>IF(Table1[[#This Row],[Engagement Score]]&lt;30,"🔴",IF(Table1[[#This Row],[Engagement Score]]&lt;40,"🟡","🟢"))</f>
        <v>🔴</v>
      </c>
      <c r="Q140" s="8">
        <v>0</v>
      </c>
      <c r="R140" s="8">
        <v>0</v>
      </c>
      <c r="S140" s="8">
        <v>0</v>
      </c>
      <c r="T140" s="14" t="s">
        <v>24</v>
      </c>
    </row>
    <row r="141" spans="1:20" ht="32.1" customHeight="1">
      <c r="A141" s="14">
        <v>53</v>
      </c>
      <c r="B141" s="21" t="s">
        <v>158</v>
      </c>
      <c r="C141" s="66">
        <v>45915</v>
      </c>
      <c r="D141" s="79" t="s">
        <v>21</v>
      </c>
      <c r="E141" s="78" t="s">
        <v>22</v>
      </c>
      <c r="F141" s="9" t="s">
        <v>23</v>
      </c>
      <c r="G141" s="14">
        <v>268</v>
      </c>
      <c r="H141" s="14">
        <v>139</v>
      </c>
      <c r="I141" s="15">
        <v>8</v>
      </c>
      <c r="J141" s="14">
        <v>1</v>
      </c>
      <c r="K141" s="71">
        <f>(Table1[[#This Row],[unsub]]/Table1[[#This Row],[unique-sends]])*100</f>
        <v>0.37313432835820892</v>
      </c>
      <c r="L141" s="72">
        <f>Table1[[#This Row],[unique-opens]] / Table1[[#This Row],[unique-sends]] * 100</f>
        <v>51.865671641791046</v>
      </c>
      <c r="M141" s="73">
        <f>Table1[[#This Row],[unique-clicks]] / Table1[[#This Row],[unique-sends]] * 100</f>
        <v>2.9850746268656714</v>
      </c>
      <c r="N141" s="73">
        <f>Table1[[#This Row],[unique-clicks]] / Table1[[#This Row],[unique-opens]] * 100</f>
        <v>5.755395683453238</v>
      </c>
      <c r="O141" s="73">
        <f>(MIN(Table1[[#This Row],[unique-opens]]/Table1[[#This Row],[unique-sends]],1)*50
 + MIN(Table1[[#This Row],[unique-clicks]]/Table1[[#This Row],[unique-sends]],1)*50)
 * (1 + MIN(Table1[[#This Row],[unique-clicks]]/Table1[[#This Row],[unique-sends]],1))
 - ((Table1[[#This Row],[unsub]]/Table1[[#This Row],[unique-sends]]*100)*2)</f>
        <v>27.497772332368015</v>
      </c>
      <c r="P141" s="11" t="str">
        <f>IF(Table1[[#This Row],[Engagement Score]]&lt;30,"🔴",IF(Table1[[#This Row],[Engagement Score]]&lt;40,"🟡","🟢"))</f>
        <v>🔴</v>
      </c>
      <c r="Q141" s="14">
        <v>0</v>
      </c>
      <c r="R141" s="14">
        <v>0</v>
      </c>
      <c r="S141" s="14">
        <v>0</v>
      </c>
      <c r="T141" s="14" t="s">
        <v>24</v>
      </c>
    </row>
    <row r="142" spans="1:20" ht="32.1" customHeight="1">
      <c r="A142" s="14">
        <v>65</v>
      </c>
      <c r="B142" s="22" t="s">
        <v>159</v>
      </c>
      <c r="C142" s="66">
        <v>45916</v>
      </c>
      <c r="D142" s="79" t="s">
        <v>29</v>
      </c>
      <c r="E142" s="78" t="s">
        <v>69</v>
      </c>
      <c r="F142" s="9" t="s">
        <v>27</v>
      </c>
      <c r="G142" s="16">
        <v>44639</v>
      </c>
      <c r="H142" s="14">
        <v>27869</v>
      </c>
      <c r="I142" s="15">
        <v>2164</v>
      </c>
      <c r="J142" s="14">
        <v>28</v>
      </c>
      <c r="K142" s="71">
        <f>(Table1[[#This Row],[unsub]]/Table1[[#This Row],[unique-sends]])*100</f>
        <v>6.2725419476242744E-2</v>
      </c>
      <c r="L142" s="72">
        <f>Table1[[#This Row],[unique-opens]] / Table1[[#This Row],[unique-sends]] * 100</f>
        <v>62.431954120836039</v>
      </c>
      <c r="M142" s="73">
        <f>Table1[[#This Row],[unique-clicks]] / Table1[[#This Row],[unique-sends]] * 100</f>
        <v>4.8477788480924753</v>
      </c>
      <c r="N142" s="73">
        <f>Table1[[#This Row],[unique-clicks]] / Table1[[#This Row],[unique-opens]] * 100</f>
        <v>7.76490006817611</v>
      </c>
      <c r="O142" s="73">
        <f>(MIN(Table1[[#This Row],[unique-opens]]/Table1[[#This Row],[unique-sends]],1)*50
 + MIN(Table1[[#This Row],[unique-clicks]]/Table1[[#This Row],[unique-sends]],1)*50)
 * (1 + MIN(Table1[[#This Row],[unique-clicks]]/Table1[[#This Row],[unique-sends]],1))
 - ((Table1[[#This Row],[unsub]]/Table1[[#This Row],[unique-sends]]*100)*2)</f>
        <v>35.145201977472176</v>
      </c>
      <c r="P142" s="11" t="str">
        <f>IF(Table1[[#This Row],[Engagement Score]]&lt;30,"🔴",IF(Table1[[#This Row],[Engagement Score]]&lt;40,"🟡","🟢"))</f>
        <v>🟡</v>
      </c>
      <c r="Q142" s="14">
        <v>66.5</v>
      </c>
      <c r="R142" s="14">
        <v>18.100000000000001</v>
      </c>
      <c r="S142" s="14">
        <v>15.4</v>
      </c>
      <c r="T142" s="20" t="s">
        <v>139</v>
      </c>
    </row>
    <row r="143" spans="1:20" ht="32.1" customHeight="1">
      <c r="A143" s="14">
        <v>27</v>
      </c>
      <c r="B143" s="21" t="s">
        <v>160</v>
      </c>
      <c r="C143" s="65">
        <v>45917</v>
      </c>
      <c r="D143" s="80" t="s">
        <v>21</v>
      </c>
      <c r="E143" s="80" t="s">
        <v>22</v>
      </c>
      <c r="F143" s="9" t="s">
        <v>27</v>
      </c>
      <c r="G143" s="16">
        <v>4294</v>
      </c>
      <c r="H143" s="14">
        <v>1419</v>
      </c>
      <c r="I143" s="15">
        <v>261</v>
      </c>
      <c r="J143" s="14">
        <v>6</v>
      </c>
      <c r="K143" s="71">
        <f>(Table1[[#This Row],[unsub]]/Table1[[#This Row],[unique-sends]])*100</f>
        <v>0.13972985561248255</v>
      </c>
      <c r="L143" s="72">
        <f>Table1[[#This Row],[unique-opens]] / Table1[[#This Row],[unique-sends]] * 100</f>
        <v>33.046110852352115</v>
      </c>
      <c r="M143" s="73">
        <f>Table1[[#This Row],[unique-clicks]] / Table1[[#This Row],[unique-sends]] * 100</f>
        <v>6.0782487191429899</v>
      </c>
      <c r="N143" s="73">
        <f>Table1[[#This Row],[unique-clicks]] / Table1[[#This Row],[unique-opens]] * 100</f>
        <v>18.393234672304441</v>
      </c>
      <c r="O143" s="73">
        <f>(MIN(Table1[[#This Row],[unique-opens]]/Table1[[#This Row],[unique-sends]],1)*50
 + MIN(Table1[[#This Row],[unique-clicks]]/Table1[[#This Row],[unique-sends]],1)*50)
 * (1 + MIN(Table1[[#This Row],[unique-clicks]]/Table1[[#This Row],[unique-sends]],1))
 - ((Table1[[#This Row],[unsub]]/Table1[[#This Row],[unique-sends]]*100)*2)</f>
        <v>20.471758016786239</v>
      </c>
      <c r="P143" s="11" t="str">
        <f>IF(Table1[[#This Row],[Engagement Score]]&lt;30,"🔴",IF(Table1[[#This Row],[Engagement Score]]&lt;40,"🟡","🟢"))</f>
        <v>🔴</v>
      </c>
      <c r="Q143" s="8">
        <v>90.1</v>
      </c>
      <c r="R143" s="8">
        <v>3.3</v>
      </c>
      <c r="S143" s="8">
        <v>6.6</v>
      </c>
      <c r="T143" s="18" t="s">
        <v>161</v>
      </c>
    </row>
    <row r="144" spans="1:20" ht="32.1" customHeight="1">
      <c r="A144" s="14">
        <v>28</v>
      </c>
      <c r="B144" s="17" t="s">
        <v>160</v>
      </c>
      <c r="C144" s="65">
        <v>45917</v>
      </c>
      <c r="D144" s="79" t="s">
        <v>29</v>
      </c>
      <c r="E144" s="79" t="s">
        <v>22</v>
      </c>
      <c r="F144" s="8" t="s">
        <v>27</v>
      </c>
      <c r="G144" s="8">
        <v>455</v>
      </c>
      <c r="H144" s="8">
        <v>311</v>
      </c>
      <c r="I144" s="6">
        <v>78</v>
      </c>
      <c r="J144" s="8">
        <v>1</v>
      </c>
      <c r="K144" s="71">
        <f>(Table1[[#This Row],[unsub]]/Table1[[#This Row],[unique-sends]])*100</f>
        <v>0.21978021978021978</v>
      </c>
      <c r="L144" s="72">
        <f>Table1[[#This Row],[unique-opens]] / Table1[[#This Row],[unique-sends]] * 100</f>
        <v>68.35164835164835</v>
      </c>
      <c r="M144" s="73">
        <f>Table1[[#This Row],[unique-clicks]] / Table1[[#This Row],[unique-sends]] * 100</f>
        <v>17.142857142857142</v>
      </c>
      <c r="N144" s="73">
        <f>Table1[[#This Row],[unique-clicks]] / Table1[[#This Row],[unique-opens]] * 100</f>
        <v>25.080385852090032</v>
      </c>
      <c r="O144" s="73">
        <f>(MIN(Table1[[#This Row],[unique-opens]]/Table1[[#This Row],[unique-sends]],1)*50
 + MIN(Table1[[#This Row],[unique-clicks]]/Table1[[#This Row],[unique-sends]],1)*50)
 * (1 + MIN(Table1[[#This Row],[unique-clicks]]/Table1[[#This Row],[unique-sends]],1))
 - ((Table1[[#This Row],[unsub]]/Table1[[#This Row],[unique-sends]]*100)*2)</f>
        <v>49.635792778649922</v>
      </c>
      <c r="P144" s="11" t="str">
        <f>IF(Table1[[#This Row],[Engagement Score]]&lt;30,"🔴",IF(Table1[[#This Row],[Engagement Score]]&lt;40,"🟡","🟢"))</f>
        <v>🟢</v>
      </c>
      <c r="Q144" s="8">
        <v>84.2</v>
      </c>
      <c r="R144" s="8">
        <v>5.3</v>
      </c>
      <c r="S144" s="8">
        <v>10.5</v>
      </c>
      <c r="T144" s="18" t="s">
        <v>162</v>
      </c>
    </row>
    <row r="145" spans="1:20" ht="32.1" customHeight="1">
      <c r="A145" s="14">
        <v>54</v>
      </c>
      <c r="B145" s="17" t="s">
        <v>163</v>
      </c>
      <c r="C145" s="65">
        <v>45917</v>
      </c>
      <c r="D145" s="80" t="s">
        <v>29</v>
      </c>
      <c r="E145" s="80" t="s">
        <v>22</v>
      </c>
      <c r="F145" s="9" t="s">
        <v>23</v>
      </c>
      <c r="G145" s="8">
        <v>78</v>
      </c>
      <c r="H145" s="8">
        <v>34</v>
      </c>
      <c r="I145" s="6">
        <v>4</v>
      </c>
      <c r="J145" s="8">
        <v>0</v>
      </c>
      <c r="K145" s="71">
        <f>(Table1[[#This Row],[unsub]]/Table1[[#This Row],[unique-sends]])*100</f>
        <v>0</v>
      </c>
      <c r="L145" s="72">
        <f>Table1[[#This Row],[unique-opens]] / Table1[[#This Row],[unique-sends]] * 100</f>
        <v>43.589743589743591</v>
      </c>
      <c r="M145" s="73">
        <f>Table1[[#This Row],[unique-clicks]] / Table1[[#This Row],[unique-sends]] * 100</f>
        <v>5.1282051282051277</v>
      </c>
      <c r="N145" s="73">
        <f>Table1[[#This Row],[unique-clicks]] / Table1[[#This Row],[unique-opens]] * 100</f>
        <v>11.76470588235294</v>
      </c>
      <c r="O145" s="73">
        <f>(MIN(Table1[[#This Row],[unique-opens]]/Table1[[#This Row],[unique-sends]],1)*50
 + MIN(Table1[[#This Row],[unique-clicks]]/Table1[[#This Row],[unique-sends]],1)*50)
 * (1 + MIN(Table1[[#This Row],[unique-clicks]]/Table1[[#This Row],[unique-sends]],1))
 - ((Table1[[#This Row],[unsub]]/Table1[[#This Row],[unique-sends]]*100)*2)</f>
        <v>25.608152531229454</v>
      </c>
      <c r="P145" s="11" t="str">
        <f>IF(Table1[[#This Row],[Engagement Score]]&lt;30,"🔴",IF(Table1[[#This Row],[Engagement Score]]&lt;40,"🟡","🟢"))</f>
        <v>🔴</v>
      </c>
      <c r="Q145" s="8">
        <v>0</v>
      </c>
      <c r="R145" s="8">
        <v>0</v>
      </c>
      <c r="S145" s="8">
        <v>0</v>
      </c>
      <c r="T145" s="8" t="s">
        <v>24</v>
      </c>
    </row>
    <row r="146" spans="1:20" ht="32.1" customHeight="1">
      <c r="A146" s="14">
        <v>55</v>
      </c>
      <c r="B146" s="17" t="s">
        <v>164</v>
      </c>
      <c r="C146" s="65">
        <v>45917</v>
      </c>
      <c r="D146" s="79" t="s">
        <v>21</v>
      </c>
      <c r="E146" s="79" t="s">
        <v>22</v>
      </c>
      <c r="F146" s="8" t="s">
        <v>23</v>
      </c>
      <c r="G146" s="16">
        <v>1825</v>
      </c>
      <c r="H146" s="14">
        <v>1035</v>
      </c>
      <c r="I146" s="15">
        <v>57</v>
      </c>
      <c r="J146" s="14">
        <v>2</v>
      </c>
      <c r="K146" s="71">
        <f>(Table1[[#This Row],[unsub]]/Table1[[#This Row],[unique-sends]])*100</f>
        <v>0.1095890410958904</v>
      </c>
      <c r="L146" s="72">
        <f>Table1[[#This Row],[unique-opens]] / Table1[[#This Row],[unique-sends]] * 100</f>
        <v>56.712328767123289</v>
      </c>
      <c r="M146" s="73">
        <f>Table1[[#This Row],[unique-clicks]] / Table1[[#This Row],[unique-sends]] * 100</f>
        <v>3.1232876712328768</v>
      </c>
      <c r="N146" s="73">
        <f>Table1[[#This Row],[unique-clicks]] / Table1[[#This Row],[unique-opens]] * 100</f>
        <v>5.5072463768115938</v>
      </c>
      <c r="O146" s="73">
        <f>(MIN(Table1[[#This Row],[unique-opens]]/Table1[[#This Row],[unique-sends]],1)*50
 + MIN(Table1[[#This Row],[unique-clicks]]/Table1[[#This Row],[unique-sends]],1)*50)
 * (1 + MIN(Table1[[#This Row],[unique-clicks]]/Table1[[#This Row],[unique-sends]],1))
 - ((Table1[[#This Row],[unsub]]/Table1[[#This Row],[unique-sends]]*100)*2)</f>
        <v>30.633049352598984</v>
      </c>
      <c r="P146" s="11" t="str">
        <f>IF(Table1[[#This Row],[Engagement Score]]&lt;30,"🔴",IF(Table1[[#This Row],[Engagement Score]]&lt;40,"🟡","🟢"))</f>
        <v>🟡</v>
      </c>
      <c r="Q146" s="8">
        <v>0</v>
      </c>
      <c r="R146" s="8">
        <v>0</v>
      </c>
      <c r="S146" s="8">
        <v>0</v>
      </c>
      <c r="T146" s="14" t="s">
        <v>24</v>
      </c>
    </row>
    <row r="147" spans="1:20" ht="32.1" customHeight="1">
      <c r="A147" s="14">
        <v>74</v>
      </c>
      <c r="B147" s="21" t="s">
        <v>165</v>
      </c>
      <c r="C147" s="66">
        <v>45922</v>
      </c>
      <c r="D147" s="80" t="s">
        <v>21</v>
      </c>
      <c r="E147" s="80" t="s">
        <v>22</v>
      </c>
      <c r="F147" s="14" t="s">
        <v>27</v>
      </c>
      <c r="G147" s="16">
        <v>10911</v>
      </c>
      <c r="H147" s="14">
        <v>8376</v>
      </c>
      <c r="I147" s="15">
        <v>4289</v>
      </c>
      <c r="J147" s="14">
        <v>8</v>
      </c>
      <c r="K147" s="71">
        <f>(Table1[[#This Row],[unsub]]/Table1[[#This Row],[unique-sends]])*100</f>
        <v>7.3320502245440386E-2</v>
      </c>
      <c r="L147" s="72">
        <f>Table1[[#This Row],[unique-opens]] / Table1[[#This Row],[unique-sends]] * 100</f>
        <v>76.766565850976079</v>
      </c>
      <c r="M147" s="73">
        <f>Table1[[#This Row],[unique-clicks]] / Table1[[#This Row],[unique-sends]] * 100</f>
        <v>39.308954266336727</v>
      </c>
      <c r="N147" s="73">
        <f>Table1[[#This Row],[unique-clicks]] / Table1[[#This Row],[unique-opens]] * 100</f>
        <v>51.205826170009551</v>
      </c>
      <c r="O147" s="73">
        <f>(MIN(Table1[[#This Row],[unique-opens]]/Table1[[#This Row],[unique-sends]],1)*50
 + MIN(Table1[[#This Row],[unique-clicks]]/Table1[[#This Row],[unique-sends]],1)*50)
 * (1 + MIN(Table1[[#This Row],[unique-clicks]]/Table1[[#This Row],[unique-sends]],1))
 - ((Table1[[#This Row],[unsub]]/Table1[[#This Row],[unique-sends]]*100)*2)</f>
        <v>80.705155612829017</v>
      </c>
      <c r="P147" s="11" t="str">
        <f>IF(Table1[[#This Row],[Engagement Score]]&lt;30,"🔴",IF(Table1[[#This Row],[Engagement Score]]&lt;40,"🟡","🟢"))</f>
        <v>🟢</v>
      </c>
      <c r="Q147" s="8">
        <v>69.930000000000007</v>
      </c>
      <c r="R147" s="8">
        <v>17.2</v>
      </c>
      <c r="S147" s="8">
        <v>13.5</v>
      </c>
      <c r="T147" s="20" t="s">
        <v>166</v>
      </c>
    </row>
    <row r="148" spans="1:20" ht="32.1" customHeight="1">
      <c r="A148" s="14">
        <v>74</v>
      </c>
      <c r="B148" s="17" t="s">
        <v>167</v>
      </c>
      <c r="C148" s="65">
        <v>45922</v>
      </c>
      <c r="D148" s="79" t="s">
        <v>21</v>
      </c>
      <c r="E148" s="79" t="s">
        <v>22</v>
      </c>
      <c r="F148" s="8" t="s">
        <v>27</v>
      </c>
      <c r="G148" s="10">
        <v>3043</v>
      </c>
      <c r="H148" s="8">
        <v>2080</v>
      </c>
      <c r="I148" s="6">
        <v>1053</v>
      </c>
      <c r="J148" s="8">
        <v>0</v>
      </c>
      <c r="K148" s="71">
        <f>(Table1[[#This Row],[unsub]]/Table1[[#This Row],[unique-sends]])*100</f>
        <v>0</v>
      </c>
      <c r="L148" s="72">
        <f>Table1[[#This Row],[unique-opens]] / Table1[[#This Row],[unique-sends]] * 100</f>
        <v>68.353598422609267</v>
      </c>
      <c r="M148" s="73">
        <f>Table1[[#This Row],[unique-clicks]] / Table1[[#This Row],[unique-sends]] * 100</f>
        <v>34.60400920144594</v>
      </c>
      <c r="N148" s="73">
        <f>Table1[[#This Row],[unique-clicks]] / Table1[[#This Row],[unique-opens]] * 100</f>
        <v>50.625</v>
      </c>
      <c r="O148" s="73">
        <f>(MIN(Table1[[#This Row],[unique-opens]]/Table1[[#This Row],[unique-sends]],1)*50
 + MIN(Table1[[#This Row],[unique-clicks]]/Table1[[#This Row],[unique-sends]],1)*50)
 * (1 + MIN(Table1[[#This Row],[unique-clicks]]/Table1[[#This Row],[unique-sends]],1))
 - ((Table1[[#This Row],[unsub]]/Table1[[#This Row],[unique-sends]]*100)*2)</f>
        <v>69.292533819935954</v>
      </c>
      <c r="P148" s="11" t="str">
        <f>IF(Table1[[#This Row],[Engagement Score]]&lt;30,"🔴",IF(Table1[[#This Row],[Engagement Score]]&lt;40,"🟡","🟢"))</f>
        <v>🟢</v>
      </c>
      <c r="Q148" s="8">
        <v>69.930000000000007</v>
      </c>
      <c r="R148" s="8">
        <v>17.2</v>
      </c>
      <c r="S148" s="8">
        <v>13.5</v>
      </c>
      <c r="T148" s="18" t="s">
        <v>166</v>
      </c>
    </row>
    <row r="149" spans="1:20" ht="32.1" customHeight="1">
      <c r="A149" s="14">
        <v>20</v>
      </c>
      <c r="B149" s="21" t="s">
        <v>168</v>
      </c>
      <c r="C149" s="65">
        <v>45925</v>
      </c>
      <c r="D149" s="80" t="s">
        <v>21</v>
      </c>
      <c r="E149" s="80" t="s">
        <v>22</v>
      </c>
      <c r="F149" s="14" t="s">
        <v>23</v>
      </c>
      <c r="G149" s="14">
        <v>254</v>
      </c>
      <c r="H149" s="14">
        <v>99</v>
      </c>
      <c r="I149" s="15">
        <v>8</v>
      </c>
      <c r="J149" s="14">
        <v>0</v>
      </c>
      <c r="K149" s="71">
        <f>(Table1[[#This Row],[unsub]]/Table1[[#This Row],[unique-sends]])*100</f>
        <v>0</v>
      </c>
      <c r="L149" s="72">
        <f>Table1[[#This Row],[unique-opens]] / Table1[[#This Row],[unique-sends]] * 100</f>
        <v>38.976377952755904</v>
      </c>
      <c r="M149" s="73">
        <f>Table1[[#This Row],[unique-clicks]] / Table1[[#This Row],[unique-sends]] * 100</f>
        <v>3.1496062992125982</v>
      </c>
      <c r="N149" s="73">
        <f>Table1[[#This Row],[unique-clicks]] / Table1[[#This Row],[unique-opens]] * 100</f>
        <v>8.0808080808080813</v>
      </c>
      <c r="O149" s="73">
        <f>(MIN(Table1[[#This Row],[unique-opens]]/Table1[[#This Row],[unique-sends]],1)*50
 + MIN(Table1[[#This Row],[unique-clicks]]/Table1[[#This Row],[unique-sends]],1)*50)
 * (1 + MIN(Table1[[#This Row],[unique-clicks]]/Table1[[#This Row],[unique-sends]],1))
 - ((Table1[[#This Row],[unsub]]/Table1[[#This Row],[unique-sends]]*100)*2)</f>
        <v>21.726393452786905</v>
      </c>
      <c r="P149" s="11" t="str">
        <f>IF(Table1[[#This Row],[Engagement Score]]&lt;30,"🔴",IF(Table1[[#This Row],[Engagement Score]]&lt;40,"🟡","🟢"))</f>
        <v>🔴</v>
      </c>
      <c r="Q149" s="14">
        <v>81.400000000000006</v>
      </c>
      <c r="R149" s="14">
        <v>7.1</v>
      </c>
      <c r="S149" s="14">
        <v>11.4</v>
      </c>
      <c r="T149" s="20" t="s">
        <v>169</v>
      </c>
    </row>
    <row r="150" spans="1:20" ht="32.1" customHeight="1">
      <c r="A150" s="14">
        <v>21</v>
      </c>
      <c r="B150" s="17" t="s">
        <v>170</v>
      </c>
      <c r="C150" s="65">
        <v>45925</v>
      </c>
      <c r="D150" s="79" t="s">
        <v>21</v>
      </c>
      <c r="E150" s="79" t="s">
        <v>22</v>
      </c>
      <c r="F150" s="8" t="s">
        <v>23</v>
      </c>
      <c r="G150" s="8">
        <v>163</v>
      </c>
      <c r="H150" s="8">
        <v>80</v>
      </c>
      <c r="I150" s="6">
        <v>18</v>
      </c>
      <c r="J150" s="8">
        <v>0</v>
      </c>
      <c r="K150" s="71">
        <f>(Table1[[#This Row],[unsub]]/Table1[[#This Row],[unique-sends]])*100</f>
        <v>0</v>
      </c>
      <c r="L150" s="72">
        <f>Table1[[#This Row],[unique-opens]] / Table1[[#This Row],[unique-sends]] * 100</f>
        <v>49.079754601226995</v>
      </c>
      <c r="M150" s="73">
        <f>Table1[[#This Row],[unique-clicks]] / Table1[[#This Row],[unique-sends]] * 100</f>
        <v>11.042944785276074</v>
      </c>
      <c r="N150" s="73">
        <f>Table1[[#This Row],[unique-clicks]] / Table1[[#This Row],[unique-opens]] * 100</f>
        <v>22.5</v>
      </c>
      <c r="O150" s="73">
        <f>(MIN(Table1[[#This Row],[unique-opens]]/Table1[[#This Row],[unique-sends]],1)*50
 + MIN(Table1[[#This Row],[unique-clicks]]/Table1[[#This Row],[unique-sends]],1)*50)
 * (1 + MIN(Table1[[#This Row],[unique-clicks]]/Table1[[#This Row],[unique-sends]],1))
 - ((Table1[[#This Row],[unsub]]/Table1[[#This Row],[unique-sends]]*100)*2)</f>
        <v>33.381007941586063</v>
      </c>
      <c r="P150" s="11" t="str">
        <f>IF(Table1[[#This Row],[Engagement Score]]&lt;30,"🔴",IF(Table1[[#This Row],[Engagement Score]]&lt;40,"🟡","🟢"))</f>
        <v>🟡</v>
      </c>
      <c r="Q150" s="8">
        <v>81.400000000000006</v>
      </c>
      <c r="R150" s="8">
        <v>7.1</v>
      </c>
      <c r="S150" s="8">
        <v>11.4</v>
      </c>
      <c r="T150" s="18" t="s">
        <v>169</v>
      </c>
    </row>
    <row r="151" spans="1:20" ht="32.1" customHeight="1">
      <c r="A151" s="14">
        <v>22</v>
      </c>
      <c r="B151" s="21" t="s">
        <v>171</v>
      </c>
      <c r="C151" s="65">
        <v>45925</v>
      </c>
      <c r="D151" s="80" t="s">
        <v>21</v>
      </c>
      <c r="E151" s="79" t="s">
        <v>22</v>
      </c>
      <c r="F151" s="8" t="s">
        <v>23</v>
      </c>
      <c r="G151" s="14">
        <v>145</v>
      </c>
      <c r="H151" s="14">
        <v>91</v>
      </c>
      <c r="I151" s="15">
        <v>21</v>
      </c>
      <c r="J151" s="14">
        <v>0</v>
      </c>
      <c r="K151" s="71">
        <f>(Table1[[#This Row],[unsub]]/Table1[[#This Row],[unique-sends]])*100</f>
        <v>0</v>
      </c>
      <c r="L151" s="72">
        <f>Table1[[#This Row],[unique-opens]] / Table1[[#This Row],[unique-sends]] * 100</f>
        <v>62.758620689655174</v>
      </c>
      <c r="M151" s="73">
        <f>Table1[[#This Row],[unique-clicks]] / Table1[[#This Row],[unique-sends]] * 100</f>
        <v>14.482758620689657</v>
      </c>
      <c r="N151" s="73">
        <f>Table1[[#This Row],[unique-clicks]] / Table1[[#This Row],[unique-opens]] * 100</f>
        <v>23.076923076923077</v>
      </c>
      <c r="O151" s="73">
        <f>(MIN(Table1[[#This Row],[unique-opens]]/Table1[[#This Row],[unique-sends]],1)*50
 + MIN(Table1[[#This Row],[unique-clicks]]/Table1[[#This Row],[unique-sends]],1)*50)
 * (1 + MIN(Table1[[#This Row],[unique-clicks]]/Table1[[#This Row],[unique-sends]],1))
 - ((Table1[[#This Row],[unsub]]/Table1[[#This Row],[unique-sends]]*100)*2)</f>
        <v>44.214030915576693</v>
      </c>
      <c r="P151" s="11" t="str">
        <f>IF(Table1[[#This Row],[Engagement Score]]&lt;30,"🔴",IF(Table1[[#This Row],[Engagement Score]]&lt;40,"🟡","🟢"))</f>
        <v>🟢</v>
      </c>
      <c r="Q151" s="14">
        <v>81.400000000000006</v>
      </c>
      <c r="R151" s="14">
        <v>7.1</v>
      </c>
      <c r="S151" s="14">
        <v>11.4</v>
      </c>
      <c r="T151" s="20" t="s">
        <v>169</v>
      </c>
    </row>
    <row r="152" spans="1:20" ht="32.1" customHeight="1">
      <c r="A152" s="14">
        <v>23</v>
      </c>
      <c r="B152" s="17" t="s">
        <v>172</v>
      </c>
      <c r="C152" s="65">
        <v>45925</v>
      </c>
      <c r="D152" s="79" t="s">
        <v>21</v>
      </c>
      <c r="E152" s="79" t="s">
        <v>22</v>
      </c>
      <c r="F152" s="8" t="s">
        <v>23</v>
      </c>
      <c r="G152" s="8">
        <v>106</v>
      </c>
      <c r="H152" s="8">
        <v>63</v>
      </c>
      <c r="I152" s="6">
        <v>11</v>
      </c>
      <c r="J152" s="8">
        <v>0</v>
      </c>
      <c r="K152" s="71">
        <f>(Table1[[#This Row],[unsub]]/Table1[[#This Row],[unique-sends]])*100</f>
        <v>0</v>
      </c>
      <c r="L152" s="72">
        <f>Table1[[#This Row],[unique-opens]] / Table1[[#This Row],[unique-sends]] * 100</f>
        <v>59.433962264150942</v>
      </c>
      <c r="M152" s="73">
        <f>Table1[[#This Row],[unique-clicks]] / Table1[[#This Row],[unique-sends]] * 100</f>
        <v>10.377358490566039</v>
      </c>
      <c r="N152" s="73">
        <f>Table1[[#This Row],[unique-clicks]] / Table1[[#This Row],[unique-opens]] * 100</f>
        <v>17.460317460317459</v>
      </c>
      <c r="O152" s="73">
        <f>(MIN(Table1[[#This Row],[unique-opens]]/Table1[[#This Row],[unique-sends]],1)*50
 + MIN(Table1[[#This Row],[unique-clicks]]/Table1[[#This Row],[unique-sends]],1)*50)
 * (1 + MIN(Table1[[#This Row],[unique-clicks]]/Table1[[#This Row],[unique-sends]],1))
 - ((Table1[[#This Row],[unsub]]/Table1[[#This Row],[unique-sends]]*100)*2)</f>
        <v>38.527945888216443</v>
      </c>
      <c r="P152" s="11" t="str">
        <f>IF(Table1[[#This Row],[Engagement Score]]&lt;30,"🔴",IF(Table1[[#This Row],[Engagement Score]]&lt;40,"🟡","🟢"))</f>
        <v>🟡</v>
      </c>
      <c r="Q152" s="8">
        <v>81.400000000000006</v>
      </c>
      <c r="R152" s="8">
        <v>7.1</v>
      </c>
      <c r="S152" s="8">
        <v>11.4</v>
      </c>
      <c r="T152" s="18" t="s">
        <v>169</v>
      </c>
    </row>
    <row r="153" spans="1:20" ht="32.1" customHeight="1">
      <c r="A153" s="14">
        <v>31</v>
      </c>
      <c r="B153" s="17" t="s">
        <v>173</v>
      </c>
      <c r="C153" s="66">
        <v>45930</v>
      </c>
      <c r="D153" s="80" t="s">
        <v>29</v>
      </c>
      <c r="E153" s="79" t="s">
        <v>26</v>
      </c>
      <c r="F153" s="8" t="s">
        <v>27</v>
      </c>
      <c r="G153" s="14">
        <v>298</v>
      </c>
      <c r="H153" s="14">
        <v>154</v>
      </c>
      <c r="I153" s="15">
        <v>2</v>
      </c>
      <c r="J153" s="14">
        <v>0</v>
      </c>
      <c r="K153" s="71">
        <f>(Table1[[#This Row],[unsub]]/Table1[[#This Row],[unique-sends]])*100</f>
        <v>0</v>
      </c>
      <c r="L153" s="72">
        <f>Table1[[#This Row],[unique-opens]] / Table1[[#This Row],[unique-sends]] * 100</f>
        <v>51.677852348993291</v>
      </c>
      <c r="M153" s="73">
        <f>Table1[[#This Row],[unique-clicks]] / Table1[[#This Row],[unique-sends]] * 100</f>
        <v>0.67114093959731547</v>
      </c>
      <c r="N153" s="73">
        <f>Table1[[#This Row],[unique-clicks]] / Table1[[#This Row],[unique-opens]] * 100</f>
        <v>1.2987012987012987</v>
      </c>
      <c r="O153" s="73">
        <f>(MIN(Table1[[#This Row],[unique-opens]]/Table1[[#This Row],[unique-sends]],1)*50
 + MIN(Table1[[#This Row],[unique-clicks]]/Table1[[#This Row],[unique-sends]],1)*50)
 * (1 + MIN(Table1[[#This Row],[unique-clicks]]/Table1[[#This Row],[unique-sends]],1))
 - ((Table1[[#This Row],[unsub]]/Table1[[#This Row],[unique-sends]]*100)*2)</f>
        <v>26.350164407008698</v>
      </c>
      <c r="P153" s="11" t="str">
        <f>IF(Table1[[#This Row],[Engagement Score]]&lt;30,"🔴",IF(Table1[[#This Row],[Engagement Score]]&lt;40,"🟡","🟢"))</f>
        <v>🔴</v>
      </c>
      <c r="Q153" s="14">
        <v>50</v>
      </c>
      <c r="R153" s="14">
        <v>38.9</v>
      </c>
      <c r="S153" s="14">
        <v>11.1</v>
      </c>
      <c r="T153" s="20" t="s">
        <v>174</v>
      </c>
    </row>
    <row r="154" spans="1:20" ht="32.1" customHeight="1">
      <c r="A154" s="14">
        <v>31</v>
      </c>
      <c r="B154" s="17" t="s">
        <v>173</v>
      </c>
      <c r="C154" s="65">
        <v>45930</v>
      </c>
      <c r="D154" s="79" t="s">
        <v>21</v>
      </c>
      <c r="E154" s="79" t="s">
        <v>26</v>
      </c>
      <c r="F154" s="8" t="s">
        <v>27</v>
      </c>
      <c r="G154" s="16">
        <v>8785</v>
      </c>
      <c r="H154" s="14">
        <v>4026</v>
      </c>
      <c r="I154" s="15">
        <v>150</v>
      </c>
      <c r="J154" s="14">
        <v>1</v>
      </c>
      <c r="K154" s="71">
        <f>(Table1[[#This Row],[unsub]]/Table1[[#This Row],[unique-sends]])*100</f>
        <v>1.1383039271485488E-2</v>
      </c>
      <c r="L154" s="72">
        <f>Table1[[#This Row],[unique-opens]] / Table1[[#This Row],[unique-sends]] * 100</f>
        <v>45.828116107000568</v>
      </c>
      <c r="M154" s="73">
        <f>Table1[[#This Row],[unique-clicks]] / Table1[[#This Row],[unique-sends]] * 100</f>
        <v>1.707455890722823</v>
      </c>
      <c r="N154" s="73">
        <f>Table1[[#This Row],[unique-clicks]] / Table1[[#This Row],[unique-opens]] * 100</f>
        <v>3.7257824143070044</v>
      </c>
      <c r="O154" s="73">
        <f>(MIN(Table1[[#This Row],[unique-opens]]/Table1[[#This Row],[unique-sends]],1)*50
 + MIN(Table1[[#This Row],[unique-clicks]]/Table1[[#This Row],[unique-sends]],1)*50)
 * (1 + MIN(Table1[[#This Row],[unique-clicks]]/Table1[[#This Row],[unique-sends]],1))
 - ((Table1[[#This Row],[unsub]]/Table1[[#This Row],[unique-sends]]*100)*2)</f>
        <v>24.150844382450686</v>
      </c>
      <c r="P154" s="11" t="str">
        <f>IF(Table1[[#This Row],[Engagement Score]]&lt;30,"🔴",IF(Table1[[#This Row],[Engagement Score]]&lt;40,"🟡","🟢"))</f>
        <v>🔴</v>
      </c>
      <c r="Q154" s="14">
        <v>79.5</v>
      </c>
      <c r="R154" s="14">
        <v>14.4</v>
      </c>
      <c r="S154" s="14">
        <v>6.1</v>
      </c>
      <c r="T154" s="20" t="s">
        <v>175</v>
      </c>
    </row>
    <row r="155" spans="1:20" ht="32.1" customHeight="1">
      <c r="A155" s="14">
        <v>38</v>
      </c>
      <c r="B155" s="17" t="s">
        <v>176</v>
      </c>
      <c r="C155" s="65">
        <v>45931</v>
      </c>
      <c r="D155" s="80" t="s">
        <v>21</v>
      </c>
      <c r="E155" s="79" t="s">
        <v>22</v>
      </c>
      <c r="F155" s="9" t="s">
        <v>23</v>
      </c>
      <c r="G155" s="10">
        <v>3920</v>
      </c>
      <c r="H155" s="8">
        <v>2841</v>
      </c>
      <c r="I155" s="6">
        <v>108</v>
      </c>
      <c r="J155" s="8">
        <v>15</v>
      </c>
      <c r="K155" s="71">
        <f>(Table1[[#This Row],[unsub]]/Table1[[#This Row],[unique-sends]])*100</f>
        <v>0.38265306122448978</v>
      </c>
      <c r="L155" s="72">
        <f>Table1[[#This Row],[unique-opens]] / Table1[[#This Row],[unique-sends]] * 100</f>
        <v>72.474489795918359</v>
      </c>
      <c r="M155" s="73">
        <f>Table1[[#This Row],[unique-clicks]] / Table1[[#This Row],[unique-sends]] * 100</f>
        <v>2.7551020408163267</v>
      </c>
      <c r="N155" s="73">
        <f>Table1[[#This Row],[unique-clicks]] / Table1[[#This Row],[unique-opens]] * 100</f>
        <v>3.8014783526927136</v>
      </c>
      <c r="O155" s="73">
        <f>(MIN(Table1[[#This Row],[unique-opens]]/Table1[[#This Row],[unique-sends]],1)*50
 + MIN(Table1[[#This Row],[unique-clicks]]/Table1[[#This Row],[unique-sends]],1)*50)
 * (1 + MIN(Table1[[#This Row],[unique-clicks]]/Table1[[#This Row],[unique-sends]],1))
 - ((Table1[[#This Row],[unsub]]/Table1[[#This Row],[unique-sends]]*100)*2)</f>
        <v>37.885815805914199</v>
      </c>
      <c r="P155" s="11" t="str">
        <f>IF(Table1[[#This Row],[Engagement Score]]&lt;30,"🔴",IF(Table1[[#This Row],[Engagement Score]]&lt;40,"🟡","🟢"))</f>
        <v>🟡</v>
      </c>
      <c r="Q155" s="8">
        <v>0</v>
      </c>
      <c r="R155" s="8">
        <v>0</v>
      </c>
      <c r="S155" s="8">
        <v>0</v>
      </c>
      <c r="T155" s="8" t="s">
        <v>24</v>
      </c>
    </row>
    <row r="156" spans="1:20" ht="32.1" customHeight="1">
      <c r="A156" s="14">
        <v>39</v>
      </c>
      <c r="B156" s="17" t="s">
        <v>33</v>
      </c>
      <c r="C156" s="65">
        <v>45931</v>
      </c>
      <c r="D156" s="79" t="s">
        <v>29</v>
      </c>
      <c r="E156" s="79" t="s">
        <v>22</v>
      </c>
      <c r="F156" s="9" t="s">
        <v>23</v>
      </c>
      <c r="G156" s="14">
        <v>182</v>
      </c>
      <c r="H156" s="14">
        <v>96</v>
      </c>
      <c r="I156" s="15">
        <v>3</v>
      </c>
      <c r="J156" s="14">
        <v>0</v>
      </c>
      <c r="K156" s="71">
        <f>(Table1[[#This Row],[unsub]]/Table1[[#This Row],[unique-sends]])*100</f>
        <v>0</v>
      </c>
      <c r="L156" s="72">
        <f>Table1[[#This Row],[unique-opens]] / Table1[[#This Row],[unique-sends]] * 100</f>
        <v>52.747252747252752</v>
      </c>
      <c r="M156" s="73">
        <f>Table1[[#This Row],[unique-clicks]] / Table1[[#This Row],[unique-sends]] * 100</f>
        <v>1.6483516483516485</v>
      </c>
      <c r="N156" s="73">
        <f>Table1[[#This Row],[unique-clicks]] / Table1[[#This Row],[unique-opens]] * 100</f>
        <v>3.125</v>
      </c>
      <c r="O156" s="73">
        <f>(MIN(Table1[[#This Row],[unique-opens]]/Table1[[#This Row],[unique-sends]],1)*50
 + MIN(Table1[[#This Row],[unique-clicks]]/Table1[[#This Row],[unique-sends]],1)*50)
 * (1 + MIN(Table1[[#This Row],[unique-clicks]]/Table1[[#This Row],[unique-sends]],1))
 - ((Table1[[#This Row],[unsub]]/Table1[[#This Row],[unique-sends]]*100)*2)</f>
        <v>27.646117618645093</v>
      </c>
      <c r="P156" s="11" t="str">
        <f>IF(Table1[[#This Row],[Engagement Score]]&lt;30,"🔴",IF(Table1[[#This Row],[Engagement Score]]&lt;40,"🟡","🟢"))</f>
        <v>🔴</v>
      </c>
      <c r="Q156" s="14">
        <v>0</v>
      </c>
      <c r="R156" s="14">
        <v>0</v>
      </c>
      <c r="S156" s="14">
        <v>0</v>
      </c>
      <c r="T156" s="14" t="s">
        <v>24</v>
      </c>
    </row>
    <row r="157" spans="1:20" ht="32.1" customHeight="1">
      <c r="A157" s="14">
        <v>30</v>
      </c>
      <c r="B157" s="17" t="s">
        <v>177</v>
      </c>
      <c r="C157" s="65">
        <v>45933</v>
      </c>
      <c r="D157" s="80" t="s">
        <v>29</v>
      </c>
      <c r="E157" s="79" t="s">
        <v>26</v>
      </c>
      <c r="F157" s="9" t="s">
        <v>27</v>
      </c>
      <c r="G157" s="8">
        <v>910</v>
      </c>
      <c r="H157" s="8">
        <v>521</v>
      </c>
      <c r="I157" s="6">
        <v>35</v>
      </c>
      <c r="J157" s="8">
        <v>0</v>
      </c>
      <c r="K157" s="71">
        <f>(Table1[[#This Row],[unsub]]/Table1[[#This Row],[unique-sends]])*100</f>
        <v>0</v>
      </c>
      <c r="L157" s="72">
        <f>Table1[[#This Row],[unique-opens]] / Table1[[#This Row],[unique-sends]] * 100</f>
        <v>57.252747252747248</v>
      </c>
      <c r="M157" s="73">
        <f>Table1[[#This Row],[unique-clicks]] / Table1[[#This Row],[unique-sends]] * 100</f>
        <v>3.8461538461538463</v>
      </c>
      <c r="N157" s="73">
        <f>Table1[[#This Row],[unique-clicks]] / Table1[[#This Row],[unique-opens]] * 100</f>
        <v>6.7178502879078703</v>
      </c>
      <c r="O157" s="73">
        <f>(MIN(Table1[[#This Row],[unique-opens]]/Table1[[#This Row],[unique-sends]],1)*50
 + MIN(Table1[[#This Row],[unique-clicks]]/Table1[[#This Row],[unique-sends]],1)*50)
 * (1 + MIN(Table1[[#This Row],[unique-clicks]]/Table1[[#This Row],[unique-sends]],1))
 - ((Table1[[#This Row],[unsub]]/Table1[[#This Row],[unique-sends]]*100)*2)</f>
        <v>31.724429416737109</v>
      </c>
      <c r="P157" s="11" t="str">
        <f>IF(Table1[[#This Row],[Engagement Score]]&lt;30,"🔴",IF(Table1[[#This Row],[Engagement Score]]&lt;40,"🟡","🟢"))</f>
        <v>🟡</v>
      </c>
      <c r="Q157" s="8">
        <v>86</v>
      </c>
      <c r="R157" s="8">
        <v>10</v>
      </c>
      <c r="S157" s="8">
        <v>4</v>
      </c>
      <c r="T157" s="18" t="s">
        <v>178</v>
      </c>
    </row>
    <row r="158" spans="1:20" ht="32.1" customHeight="1">
      <c r="A158" s="14">
        <v>30</v>
      </c>
      <c r="B158" s="17" t="s">
        <v>177</v>
      </c>
      <c r="C158" s="65">
        <v>45933</v>
      </c>
      <c r="D158" s="79" t="s">
        <v>21</v>
      </c>
      <c r="E158" s="79" t="s">
        <v>26</v>
      </c>
      <c r="F158" s="9" t="s">
        <v>27</v>
      </c>
      <c r="G158" s="16">
        <v>13333</v>
      </c>
      <c r="H158" s="14">
        <v>7023</v>
      </c>
      <c r="I158" s="15">
        <v>165</v>
      </c>
      <c r="J158" s="14">
        <v>4</v>
      </c>
      <c r="K158" s="71">
        <f>(Table1[[#This Row],[unsub]]/Table1[[#This Row],[unique-sends]])*100</f>
        <v>3.0000750018750466E-2</v>
      </c>
      <c r="L158" s="72">
        <f>Table1[[#This Row],[unique-opens]] / Table1[[#This Row],[unique-sends]] * 100</f>
        <v>52.673816845421143</v>
      </c>
      <c r="M158" s="73">
        <f>Table1[[#This Row],[unique-clicks]] / Table1[[#This Row],[unique-sends]] * 100</f>
        <v>1.2375309382734569</v>
      </c>
      <c r="N158" s="73">
        <f>Table1[[#This Row],[unique-clicks]] / Table1[[#This Row],[unique-opens]] * 100</f>
        <v>2.3494233233660831</v>
      </c>
      <c r="O158" s="73">
        <f>(MIN(Table1[[#This Row],[unique-opens]]/Table1[[#This Row],[unique-sends]],1)*50
 + MIN(Table1[[#This Row],[unique-clicks]]/Table1[[#This Row],[unique-sends]],1)*50)
 * (1 + MIN(Table1[[#This Row],[unique-clicks]]/Table1[[#This Row],[unique-sends]],1))
 - ((Table1[[#This Row],[unsub]]/Table1[[#This Row],[unique-sends]]*100)*2)</f>
        <v>27.229257195841512</v>
      </c>
      <c r="P158" s="11" t="str">
        <f>IF(Table1[[#This Row],[Engagement Score]]&lt;30,"🔴",IF(Table1[[#This Row],[Engagement Score]]&lt;40,"🟡","🟢"))</f>
        <v>🔴</v>
      </c>
      <c r="Q158" s="14">
        <v>71.099999999999994</v>
      </c>
      <c r="R158" s="14">
        <v>16.5</v>
      </c>
      <c r="S158" s="14">
        <v>12.4</v>
      </c>
      <c r="T158" s="20" t="s">
        <v>179</v>
      </c>
    </row>
    <row r="159" spans="1:20" ht="32.1" customHeight="1">
      <c r="A159" s="15">
        <v>31</v>
      </c>
      <c r="B159" s="17" t="s">
        <v>180</v>
      </c>
      <c r="C159" s="65">
        <v>45936</v>
      </c>
      <c r="D159" s="79" t="s">
        <v>29</v>
      </c>
      <c r="E159" s="80" t="s">
        <v>26</v>
      </c>
      <c r="F159" s="9" t="s">
        <v>27</v>
      </c>
      <c r="G159" s="8">
        <v>221</v>
      </c>
      <c r="H159" s="8">
        <v>144</v>
      </c>
      <c r="I159" s="6">
        <v>1</v>
      </c>
      <c r="J159" s="8">
        <v>1</v>
      </c>
      <c r="K159" s="71">
        <f>(Table1[[#This Row],[unsub]]/Table1[[#This Row],[unique-sends]])*100</f>
        <v>0.45248868778280549</v>
      </c>
      <c r="L159" s="72">
        <f>Table1[[#This Row],[unique-opens]] / Table1[[#This Row],[unique-sends]] * 100</f>
        <v>65.158371040723978</v>
      </c>
      <c r="M159" s="73">
        <f>Table1[[#This Row],[unique-clicks]] / Table1[[#This Row],[unique-sends]] * 100</f>
        <v>0.45248868778280549</v>
      </c>
      <c r="N159" s="73">
        <f>Table1[[#This Row],[unique-clicks]] / Table1[[#This Row],[unique-opens]] * 100</f>
        <v>0.69444444444444442</v>
      </c>
      <c r="O159" s="73">
        <f>(MIN(Table1[[#This Row],[unique-opens]]/Table1[[#This Row],[unique-sends]],1)*50
 + MIN(Table1[[#This Row],[unique-clicks]]/Table1[[#This Row],[unique-sends]],1)*50)
 * (1 + MIN(Table1[[#This Row],[unique-clicks]]/Table1[[#This Row],[unique-sends]],1))
 - ((Table1[[#This Row],[unsub]]/Table1[[#This Row],[unique-sends]]*100)*2)</f>
        <v>32.04889334780205</v>
      </c>
      <c r="P159" s="11" t="str">
        <f>IF(Table1[[#This Row],[Engagement Score]]&lt;30,"🔴",IF(Table1[[#This Row],[Engagement Score]]&lt;40,"🟡","🟢"))</f>
        <v>🟡</v>
      </c>
      <c r="Q159" s="8">
        <v>0</v>
      </c>
      <c r="R159" s="8">
        <v>0</v>
      </c>
      <c r="S159" s="8">
        <v>0</v>
      </c>
      <c r="T159" s="18" t="s">
        <v>181</v>
      </c>
    </row>
    <row r="160" spans="1:20" ht="32.1" customHeight="1">
      <c r="A160" s="15">
        <v>31</v>
      </c>
      <c r="B160" s="17" t="s">
        <v>180</v>
      </c>
      <c r="C160" s="65">
        <v>45936</v>
      </c>
      <c r="D160" s="80" t="s">
        <v>21</v>
      </c>
      <c r="E160" s="80" t="s">
        <v>26</v>
      </c>
      <c r="F160" s="9" t="s">
        <v>27</v>
      </c>
      <c r="G160" s="16">
        <v>9656</v>
      </c>
      <c r="H160" s="14">
        <v>5855</v>
      </c>
      <c r="I160" s="15">
        <v>41</v>
      </c>
      <c r="J160" s="14">
        <v>2</v>
      </c>
      <c r="K160" s="71">
        <f>(Table1[[#This Row],[unsub]]/Table1[[#This Row],[unique-sends]])*100</f>
        <v>2.0712510356255178E-2</v>
      </c>
      <c r="L160" s="72">
        <f>Table1[[#This Row],[unique-opens]] / Table1[[#This Row],[unique-sends]] * 100</f>
        <v>60.635874067937031</v>
      </c>
      <c r="M160" s="73">
        <f>Table1[[#This Row],[unique-clicks]] / Table1[[#This Row],[unique-sends]] * 100</f>
        <v>0.42460646230323112</v>
      </c>
      <c r="N160" s="73">
        <f>Table1[[#This Row],[unique-clicks]] / Table1[[#This Row],[unique-opens]] * 100</f>
        <v>0.70025619128949623</v>
      </c>
      <c r="O160" s="73">
        <f>(MIN(Table1[[#This Row],[unique-opens]]/Table1[[#This Row],[unique-sends]],1)*50
 + MIN(Table1[[#This Row],[unique-clicks]]/Table1[[#This Row],[unique-sends]],1)*50)
 * (1 + MIN(Table1[[#This Row],[unique-clicks]]/Table1[[#This Row],[unique-sends]],1))
 - ((Table1[[#This Row],[unsub]]/Table1[[#This Row],[unique-sends]]*100)*2)</f>
        <v>30.618448617530024</v>
      </c>
      <c r="P160" s="11" t="str">
        <f>IF(Table1[[#This Row],[Engagement Score]]&lt;30,"🔴",IF(Table1[[#This Row],[Engagement Score]]&lt;40,"🟡","🟢"))</f>
        <v>🟡</v>
      </c>
      <c r="Q160" s="14">
        <v>67.599999999999994</v>
      </c>
      <c r="R160" s="14">
        <v>17.600000000000001</v>
      </c>
      <c r="S160" s="14">
        <v>14.7</v>
      </c>
      <c r="T160" s="20" t="s">
        <v>182</v>
      </c>
    </row>
    <row r="161" spans="1:20" ht="32.1" customHeight="1">
      <c r="A161" s="14">
        <v>30</v>
      </c>
      <c r="B161" s="21" t="s">
        <v>33</v>
      </c>
      <c r="C161" s="66">
        <v>45931</v>
      </c>
      <c r="D161" s="80" t="s">
        <v>29</v>
      </c>
      <c r="E161" s="80" t="s">
        <v>22</v>
      </c>
      <c r="F161" s="14" t="s">
        <v>23</v>
      </c>
      <c r="G161" s="14">
        <v>182</v>
      </c>
      <c r="H161" s="14">
        <v>96</v>
      </c>
      <c r="I161" s="15">
        <v>3</v>
      </c>
      <c r="J161" s="23">
        <v>0</v>
      </c>
      <c r="K161" s="71">
        <f>(Table1[[#This Row],[unsub]]/Table1[[#This Row],[unique-sends]])*100</f>
        <v>0</v>
      </c>
      <c r="L161" s="72">
        <f>Table1[[#This Row],[unique-opens]] / Table1[[#This Row],[unique-sends]] * 100</f>
        <v>52.747252747252752</v>
      </c>
      <c r="M161" s="73">
        <f>Table1[[#This Row],[unique-clicks]] / Table1[[#This Row],[unique-sends]] * 100</f>
        <v>1.6483516483516485</v>
      </c>
      <c r="N161" s="73">
        <f>Table1[[#This Row],[unique-clicks]] / Table1[[#This Row],[unique-opens]] * 100</f>
        <v>3.125</v>
      </c>
      <c r="O161" s="73">
        <f>(MIN(Table1[[#This Row],[unique-opens]]/Table1[[#This Row],[unique-sends]],1)*50
 + MIN(Table1[[#This Row],[unique-clicks]]/Table1[[#This Row],[unique-sends]],1)*50)
 * (1 + MIN(Table1[[#This Row],[unique-clicks]]/Table1[[#This Row],[unique-sends]],1))
 - ((Table1[[#This Row],[unsub]]/Table1[[#This Row],[unique-sends]]*100)*2)</f>
        <v>27.646117618645093</v>
      </c>
      <c r="P161" s="11" t="str">
        <f>IF(Table1[[#This Row],[Engagement Score]]&lt;30,"🔴",IF(Table1[[#This Row],[Engagement Score]]&lt;40,"🟡","🟢"))</f>
        <v>🔴</v>
      </c>
      <c r="Q161" s="23">
        <v>0</v>
      </c>
      <c r="R161" s="23">
        <v>0</v>
      </c>
      <c r="S161" s="23">
        <v>0</v>
      </c>
      <c r="T161" s="26"/>
    </row>
    <row r="162" spans="1:20" ht="32.1" customHeight="1">
      <c r="A162" s="14">
        <v>30</v>
      </c>
      <c r="B162" s="21" t="s">
        <v>33</v>
      </c>
      <c r="C162" s="66">
        <v>45931</v>
      </c>
      <c r="D162" s="80" t="s">
        <v>21</v>
      </c>
      <c r="E162" s="80" t="s">
        <v>22</v>
      </c>
      <c r="F162" s="14" t="s">
        <v>23</v>
      </c>
      <c r="G162" s="16">
        <v>3920</v>
      </c>
      <c r="H162" s="14">
        <v>2841</v>
      </c>
      <c r="I162" s="15">
        <v>108</v>
      </c>
      <c r="J162" s="23">
        <v>15</v>
      </c>
      <c r="K162" s="71">
        <f>(Table1[[#This Row],[unsub]]/Table1[[#This Row],[unique-sends]])*100</f>
        <v>0.38265306122448978</v>
      </c>
      <c r="L162" s="72">
        <f>Table1[[#This Row],[unique-opens]] / Table1[[#This Row],[unique-sends]] * 100</f>
        <v>72.474489795918359</v>
      </c>
      <c r="M162" s="73">
        <f>Table1[[#This Row],[unique-clicks]] / Table1[[#This Row],[unique-sends]] * 100</f>
        <v>2.7551020408163267</v>
      </c>
      <c r="N162" s="73">
        <f>Table1[[#This Row],[unique-clicks]] / Table1[[#This Row],[unique-opens]] * 100</f>
        <v>3.8014783526927136</v>
      </c>
      <c r="O162" s="73">
        <f>(MIN(Table1[[#This Row],[unique-opens]]/Table1[[#This Row],[unique-sends]],1)*50
 + MIN(Table1[[#This Row],[unique-clicks]]/Table1[[#This Row],[unique-sends]],1)*50)
 * (1 + MIN(Table1[[#This Row],[unique-clicks]]/Table1[[#This Row],[unique-sends]],1))
 - ((Table1[[#This Row],[unsub]]/Table1[[#This Row],[unique-sends]]*100)*2)</f>
        <v>37.885815805914199</v>
      </c>
      <c r="P162" s="11" t="str">
        <f>IF(Table1[[#This Row],[Engagement Score]]&lt;30,"🔴",IF(Table1[[#This Row],[Engagement Score]]&lt;40,"🟡","🟢"))</f>
        <v>🟡</v>
      </c>
      <c r="Q162" s="23">
        <v>0</v>
      </c>
      <c r="R162" s="23">
        <v>0</v>
      </c>
      <c r="S162" s="23">
        <v>0</v>
      </c>
      <c r="T162" s="27" t="s">
        <v>24</v>
      </c>
    </row>
    <row r="163" spans="1:20" ht="32.1" customHeight="1">
      <c r="A163" s="6">
        <v>79</v>
      </c>
      <c r="B163" s="21" t="s">
        <v>40</v>
      </c>
      <c r="C163" s="66">
        <v>45931</v>
      </c>
      <c r="D163" s="80" t="s">
        <v>21</v>
      </c>
      <c r="E163" s="80" t="s">
        <v>22</v>
      </c>
      <c r="F163" s="14" t="s">
        <v>23</v>
      </c>
      <c r="G163" s="16">
        <v>40961</v>
      </c>
      <c r="H163" s="14">
        <v>22099</v>
      </c>
      <c r="I163" s="15">
        <v>3708</v>
      </c>
      <c r="J163" s="23">
        <v>9</v>
      </c>
      <c r="K163" s="71">
        <f>(Table1[[#This Row],[unsub]]/Table1[[#This Row],[unique-sends]])*100</f>
        <v>2.1972119821293424E-2</v>
      </c>
      <c r="L163" s="72">
        <f>Table1[[#This Row],[unique-opens]] / Table1[[#This Row],[unique-sends]] * 100</f>
        <v>53.951319547862596</v>
      </c>
      <c r="M163" s="73">
        <f>Table1[[#This Row],[unique-clicks]] / Table1[[#This Row],[unique-sends]] * 100</f>
        <v>9.0525133663728905</v>
      </c>
      <c r="N163" s="73">
        <f>Table1[[#This Row],[unique-clicks]] / Table1[[#This Row],[unique-opens]] * 100</f>
        <v>16.779039775555454</v>
      </c>
      <c r="O163" s="73">
        <f>(MIN(Table1[[#This Row],[unique-opens]]/Table1[[#This Row],[unique-sends]],1)*50
 + MIN(Table1[[#This Row],[unique-clicks]]/Table1[[#This Row],[unique-sends]],1)*50)
 * (1 + MIN(Table1[[#This Row],[unique-clicks]]/Table1[[#This Row],[unique-sends]],1))
 - ((Table1[[#This Row],[unsub]]/Table1[[#This Row],[unique-sends]]*100)*2)</f>
        <v>34.309687415419369</v>
      </c>
      <c r="P163" s="11" t="str">
        <f>IF(Table1[[#This Row],[Engagement Score]]&lt;30,"🔴",IF(Table1[[#This Row],[Engagement Score]]&lt;40,"🟡","🟢"))</f>
        <v>🟡</v>
      </c>
      <c r="Q163" s="23"/>
      <c r="R163" s="23"/>
      <c r="S163" s="23"/>
      <c r="T163" s="26"/>
    </row>
    <row r="164" spans="1:20" ht="32.1" customHeight="1">
      <c r="A164" s="14">
        <v>96</v>
      </c>
      <c r="B164" s="21" t="s">
        <v>40</v>
      </c>
      <c r="C164" s="66">
        <v>45931</v>
      </c>
      <c r="D164" s="80" t="s">
        <v>29</v>
      </c>
      <c r="E164" s="80" t="s">
        <v>22</v>
      </c>
      <c r="F164" s="14" t="s">
        <v>23</v>
      </c>
      <c r="G164" s="16">
        <v>1642</v>
      </c>
      <c r="H164" s="14">
        <v>967</v>
      </c>
      <c r="I164" s="15">
        <v>124</v>
      </c>
      <c r="J164" s="23">
        <v>0</v>
      </c>
      <c r="K164" s="71">
        <f>(Table1[[#This Row],[unsub]]/Table1[[#This Row],[unique-sends]])*100</f>
        <v>0</v>
      </c>
      <c r="L164" s="72">
        <f>Table1[[#This Row],[unique-opens]] / Table1[[#This Row],[unique-sends]] * 100</f>
        <v>58.891595615103533</v>
      </c>
      <c r="M164" s="73">
        <f>Table1[[#This Row],[unique-clicks]] / Table1[[#This Row],[unique-sends]] * 100</f>
        <v>7.5517661388550552</v>
      </c>
      <c r="N164" s="73">
        <f>Table1[[#This Row],[unique-clicks]] / Table1[[#This Row],[unique-opens]] * 100</f>
        <v>12.82316442605998</v>
      </c>
      <c r="O164" s="73">
        <f>(MIN(Table1[[#This Row],[unique-opens]]/Table1[[#This Row],[unique-sends]],1)*50
 + MIN(Table1[[#This Row],[unique-clicks]]/Table1[[#This Row],[unique-sends]],1)*50)
 * (1 + MIN(Table1[[#This Row],[unique-clicks]]/Table1[[#This Row],[unique-sends]],1))
 - ((Table1[[#This Row],[unsub]]/Table1[[#This Row],[unique-sends]]*100)*2)</f>
        <v>35.7305045242055</v>
      </c>
      <c r="P164" s="11" t="str">
        <f>IF(Table1[[#This Row],[Engagement Score]]&lt;30,"🔴",IF(Table1[[#This Row],[Engagement Score]]&lt;40,"🟡","🟢"))</f>
        <v>🟡</v>
      </c>
      <c r="Q164" s="23" t="s">
        <v>24</v>
      </c>
      <c r="R164" s="23" t="s">
        <v>24</v>
      </c>
      <c r="S164" s="23" t="s">
        <v>24</v>
      </c>
      <c r="T164" s="27" t="s">
        <v>24</v>
      </c>
    </row>
    <row r="165" spans="1:20" ht="32.1" customHeight="1">
      <c r="A165" s="14">
        <v>46</v>
      </c>
      <c r="B165" s="21" t="s">
        <v>41</v>
      </c>
      <c r="C165" s="66">
        <v>45931</v>
      </c>
      <c r="D165" s="80" t="s">
        <v>21</v>
      </c>
      <c r="E165" s="80" t="s">
        <v>22</v>
      </c>
      <c r="F165" s="14" t="s">
        <v>23</v>
      </c>
      <c r="G165" s="16">
        <v>18787</v>
      </c>
      <c r="H165" s="14">
        <v>10074</v>
      </c>
      <c r="I165" s="15">
        <v>1803</v>
      </c>
      <c r="J165" s="23">
        <v>3</v>
      </c>
      <c r="K165" s="71">
        <f>(Table1[[#This Row],[unsub]]/Table1[[#This Row],[unique-sends]])*100</f>
        <v>1.5968488848671955E-2</v>
      </c>
      <c r="L165" s="72">
        <f>Table1[[#This Row],[unique-opens]] / Table1[[#This Row],[unique-sends]] * 100</f>
        <v>53.622185553840417</v>
      </c>
      <c r="M165" s="73">
        <f>Table1[[#This Row],[unique-clicks]] / Table1[[#This Row],[unique-sends]] * 100</f>
        <v>9.5970617980518433</v>
      </c>
      <c r="N165" s="73">
        <f>Table1[[#This Row],[unique-clicks]] / Table1[[#This Row],[unique-opens]] * 100</f>
        <v>17.897558070279928</v>
      </c>
      <c r="O165" s="73">
        <f>(MIN(Table1[[#This Row],[unique-opens]]/Table1[[#This Row],[unique-sends]],1)*50
 + MIN(Table1[[#This Row],[unique-clicks]]/Table1[[#This Row],[unique-sends]],1)*50)
 * (1 + MIN(Table1[[#This Row],[unique-clicks]]/Table1[[#This Row],[unique-sends]],1))
 - ((Table1[[#This Row],[unsub]]/Table1[[#This Row],[unique-sends]]*100)*2)</f>
        <v>34.611281816560968</v>
      </c>
      <c r="P165" s="11" t="str">
        <f>IF(Table1[[#This Row],[Engagement Score]]&lt;30,"🔴",IF(Table1[[#This Row],[Engagement Score]]&lt;40,"🟡","🟢"))</f>
        <v>🟡</v>
      </c>
      <c r="Q165" s="23"/>
      <c r="R165" s="23"/>
      <c r="S165" s="23"/>
      <c r="T165" s="26"/>
    </row>
    <row r="166" spans="1:20" ht="32.1" customHeight="1">
      <c r="A166" s="14">
        <v>45</v>
      </c>
      <c r="B166" s="21" t="s">
        <v>41</v>
      </c>
      <c r="C166" s="66">
        <v>45931</v>
      </c>
      <c r="D166" s="80" t="s">
        <v>29</v>
      </c>
      <c r="E166" s="80" t="s">
        <v>22</v>
      </c>
      <c r="F166" s="14" t="s">
        <v>23</v>
      </c>
      <c r="G166" s="14">
        <v>680</v>
      </c>
      <c r="H166" s="14">
        <v>434</v>
      </c>
      <c r="I166" s="15">
        <v>88</v>
      </c>
      <c r="J166" s="23">
        <v>0</v>
      </c>
      <c r="K166" s="71">
        <f>(Table1[[#This Row],[unsub]]/Table1[[#This Row],[unique-sends]])*100</f>
        <v>0</v>
      </c>
      <c r="L166" s="72">
        <f>Table1[[#This Row],[unique-opens]] / Table1[[#This Row],[unique-sends]] * 100</f>
        <v>63.823529411764703</v>
      </c>
      <c r="M166" s="73">
        <f>Table1[[#This Row],[unique-clicks]] / Table1[[#This Row],[unique-sends]] * 100</f>
        <v>12.941176470588237</v>
      </c>
      <c r="N166" s="73">
        <f>Table1[[#This Row],[unique-clicks]] / Table1[[#This Row],[unique-opens]] * 100</f>
        <v>20.276497695852534</v>
      </c>
      <c r="O166" s="73">
        <f>(MIN(Table1[[#This Row],[unique-opens]]/Table1[[#This Row],[unique-sends]],1)*50
 + MIN(Table1[[#This Row],[unique-clicks]]/Table1[[#This Row],[unique-sends]],1)*50)
 * (1 + MIN(Table1[[#This Row],[unique-clicks]]/Table1[[#This Row],[unique-sends]],1))
 - ((Table1[[#This Row],[unsub]]/Table1[[#This Row],[unique-sends]]*100)*2)</f>
        <v>43.349480968858131</v>
      </c>
      <c r="P166" s="11" t="str">
        <f>IF(Table1[[#This Row],[Engagement Score]]&lt;30,"🔴",IF(Table1[[#This Row],[Engagement Score]]&lt;40,"🟡","🟢"))</f>
        <v>🟢</v>
      </c>
      <c r="Q166" s="23" t="s">
        <v>24</v>
      </c>
      <c r="R166" s="23" t="s">
        <v>24</v>
      </c>
      <c r="S166" s="23" t="s">
        <v>24</v>
      </c>
      <c r="T166" s="27" t="s">
        <v>24</v>
      </c>
    </row>
    <row r="167" spans="1:20" ht="32.1" customHeight="1">
      <c r="A167" s="14">
        <v>49</v>
      </c>
      <c r="B167" s="21" t="s">
        <v>183</v>
      </c>
      <c r="C167" s="66">
        <v>45931</v>
      </c>
      <c r="D167" s="80" t="s">
        <v>29</v>
      </c>
      <c r="E167" s="80" t="s">
        <v>22</v>
      </c>
      <c r="F167" s="14" t="s">
        <v>23</v>
      </c>
      <c r="G167" s="14">
        <v>158</v>
      </c>
      <c r="H167" s="14">
        <v>118</v>
      </c>
      <c r="I167" s="15">
        <v>9</v>
      </c>
      <c r="J167" s="23">
        <v>0</v>
      </c>
      <c r="K167" s="71">
        <f>(Table1[[#This Row],[unsub]]/Table1[[#This Row],[unique-sends]])*100</f>
        <v>0</v>
      </c>
      <c r="L167" s="72">
        <f>Table1[[#This Row],[unique-opens]] / Table1[[#This Row],[unique-sends]] * 100</f>
        <v>74.683544303797461</v>
      </c>
      <c r="M167" s="73">
        <f>Table1[[#This Row],[unique-clicks]] / Table1[[#This Row],[unique-sends]] * 100</f>
        <v>5.6962025316455698</v>
      </c>
      <c r="N167" s="73">
        <f>Table1[[#This Row],[unique-clicks]] / Table1[[#This Row],[unique-opens]] * 100</f>
        <v>7.6271186440677967</v>
      </c>
      <c r="O167" s="73">
        <f>(MIN(Table1[[#This Row],[unique-opens]]/Table1[[#This Row],[unique-sends]],1)*50
 + MIN(Table1[[#This Row],[unique-clicks]]/Table1[[#This Row],[unique-sends]],1)*50)
 * (1 + MIN(Table1[[#This Row],[unique-clicks]]/Table1[[#This Row],[unique-sends]],1))
 - ((Table1[[#This Row],[unsub]]/Table1[[#This Row],[unique-sends]]*100)*2)</f>
        <v>42.479170004806917</v>
      </c>
      <c r="P167" s="11" t="str">
        <f>IF(Table1[[#This Row],[Engagement Score]]&lt;30,"🔴",IF(Table1[[#This Row],[Engagement Score]]&lt;40,"🟡","🟢"))</f>
        <v>🟢</v>
      </c>
      <c r="Q167" s="23"/>
      <c r="R167" s="23"/>
      <c r="S167" s="23"/>
      <c r="T167" s="26"/>
    </row>
    <row r="168" spans="1:20" ht="32.1" customHeight="1">
      <c r="A168" s="14">
        <v>48</v>
      </c>
      <c r="B168" s="21" t="s">
        <v>184</v>
      </c>
      <c r="C168" s="66">
        <v>45931</v>
      </c>
      <c r="D168" s="80" t="s">
        <v>29</v>
      </c>
      <c r="E168" s="80" t="s">
        <v>22</v>
      </c>
      <c r="F168" s="14" t="s">
        <v>23</v>
      </c>
      <c r="G168" s="14">
        <v>141</v>
      </c>
      <c r="H168" s="14">
        <v>130</v>
      </c>
      <c r="I168" s="15">
        <v>15</v>
      </c>
      <c r="J168" s="23">
        <v>1</v>
      </c>
      <c r="K168" s="71">
        <f>(Table1[[#This Row],[unsub]]/Table1[[#This Row],[unique-sends]])*100</f>
        <v>0.70921985815602839</v>
      </c>
      <c r="L168" s="72">
        <f>Table1[[#This Row],[unique-opens]] / Table1[[#This Row],[unique-sends]] * 100</f>
        <v>92.198581560283685</v>
      </c>
      <c r="M168" s="73">
        <f>Table1[[#This Row],[unique-clicks]] / Table1[[#This Row],[unique-sends]] * 100</f>
        <v>10.638297872340425</v>
      </c>
      <c r="N168" s="73">
        <f>Table1[[#This Row],[unique-clicks]] / Table1[[#This Row],[unique-opens]] * 100</f>
        <v>11.538461538461538</v>
      </c>
      <c r="O168" s="73">
        <f>(MIN(Table1[[#This Row],[unique-opens]]/Table1[[#This Row],[unique-sends]],1)*50
 + MIN(Table1[[#This Row],[unique-clicks]]/Table1[[#This Row],[unique-sends]],1)*50)
 * (1 + MIN(Table1[[#This Row],[unique-clicks]]/Table1[[#This Row],[unique-sends]],1))
 - ((Table1[[#This Row],[unsub]]/Table1[[#This Row],[unique-sends]]*100)*2)</f>
        <v>55.470046778331074</v>
      </c>
      <c r="P168" s="11" t="str">
        <f>IF(Table1[[#This Row],[Engagement Score]]&lt;30,"🔴",IF(Table1[[#This Row],[Engagement Score]]&lt;40,"🟡","🟢"))</f>
        <v>🟢</v>
      </c>
      <c r="Q168" s="23" t="s">
        <v>24</v>
      </c>
      <c r="R168" s="23" t="s">
        <v>24</v>
      </c>
      <c r="S168" s="23" t="s">
        <v>24</v>
      </c>
      <c r="T168" s="27" t="s">
        <v>24</v>
      </c>
    </row>
    <row r="169" spans="1:20" ht="32.1" customHeight="1">
      <c r="A169" s="6">
        <v>50</v>
      </c>
      <c r="B169" s="21" t="s">
        <v>185</v>
      </c>
      <c r="C169" s="66">
        <v>45931</v>
      </c>
      <c r="D169" s="80" t="s">
        <v>21</v>
      </c>
      <c r="E169" s="80" t="s">
        <v>22</v>
      </c>
      <c r="F169" s="14" t="s">
        <v>23</v>
      </c>
      <c r="G169" s="16">
        <v>3312</v>
      </c>
      <c r="H169" s="14">
        <v>2731</v>
      </c>
      <c r="I169" s="15">
        <v>149</v>
      </c>
      <c r="J169" s="23">
        <v>14</v>
      </c>
      <c r="K169" s="71">
        <f>(Table1[[#This Row],[unsub]]/Table1[[#This Row],[unique-sends]])*100</f>
        <v>0.42270531400966183</v>
      </c>
      <c r="L169" s="72">
        <f>Table1[[#This Row],[unique-opens]] / Table1[[#This Row],[unique-sends]] * 100</f>
        <v>82.457729468599041</v>
      </c>
      <c r="M169" s="73">
        <f>Table1[[#This Row],[unique-clicks]] / Table1[[#This Row],[unique-sends]] * 100</f>
        <v>4.4987922705314007</v>
      </c>
      <c r="N169" s="73">
        <f>Table1[[#This Row],[unique-clicks]] / Table1[[#This Row],[unique-opens]] * 100</f>
        <v>5.4558769681435377</v>
      </c>
      <c r="O169" s="73">
        <f>(MIN(Table1[[#This Row],[unique-opens]]/Table1[[#This Row],[unique-sends]],1)*50
 + MIN(Table1[[#This Row],[unique-clicks]]/Table1[[#This Row],[unique-sends]],1)*50)
 * (1 + MIN(Table1[[#This Row],[unique-clicks]]/Table1[[#This Row],[unique-sends]],1))
 - ((Table1[[#This Row],[unsub]]/Table1[[#This Row],[unique-sends]]*100)*2)</f>
        <v>44.588846880907376</v>
      </c>
      <c r="P169" s="11" t="str">
        <f>IF(Table1[[#This Row],[Engagement Score]]&lt;30,"🔴",IF(Table1[[#This Row],[Engagement Score]]&lt;40,"🟡","🟢"))</f>
        <v>🟢</v>
      </c>
      <c r="Q169" s="23"/>
      <c r="R169" s="23"/>
      <c r="S169" s="23"/>
      <c r="T169" s="26"/>
    </row>
    <row r="170" spans="1:20" ht="32.1" customHeight="1">
      <c r="A170" s="15">
        <v>47</v>
      </c>
      <c r="B170" s="21" t="s">
        <v>184</v>
      </c>
      <c r="C170" s="66">
        <v>45931</v>
      </c>
      <c r="D170" s="80" t="s">
        <v>21</v>
      </c>
      <c r="E170" s="80" t="s">
        <v>22</v>
      </c>
      <c r="F170" s="14" t="s">
        <v>23</v>
      </c>
      <c r="G170" s="16">
        <v>2740</v>
      </c>
      <c r="H170" s="14">
        <v>2507</v>
      </c>
      <c r="I170" s="15">
        <v>219</v>
      </c>
      <c r="J170" s="23">
        <v>8</v>
      </c>
      <c r="K170" s="71">
        <f>(Table1[[#This Row],[unsub]]/Table1[[#This Row],[unique-sends]])*100</f>
        <v>0.29197080291970801</v>
      </c>
      <c r="L170" s="72">
        <f>Table1[[#This Row],[unique-opens]] / Table1[[#This Row],[unique-sends]] * 100</f>
        <v>91.496350364963504</v>
      </c>
      <c r="M170" s="73">
        <f>Table1[[#This Row],[unique-clicks]] / Table1[[#This Row],[unique-sends]] * 100</f>
        <v>7.9927007299270079</v>
      </c>
      <c r="N170" s="73">
        <f>Table1[[#This Row],[unique-clicks]] / Table1[[#This Row],[unique-opens]] * 100</f>
        <v>8.7355404866374151</v>
      </c>
      <c r="O170" s="73">
        <f>(MIN(Table1[[#This Row],[unique-opens]]/Table1[[#This Row],[unique-sends]],1)*50
 + MIN(Table1[[#This Row],[unique-clicks]]/Table1[[#This Row],[unique-sends]],1)*50)
 * (1 + MIN(Table1[[#This Row],[unique-clicks]]/Table1[[#This Row],[unique-sends]],1))
 - ((Table1[[#This Row],[unsub]]/Table1[[#This Row],[unique-sends]]*100)*2)</f>
        <v>53.136514998135233</v>
      </c>
      <c r="P170" s="11" t="str">
        <f>IF(Table1[[#This Row],[Engagement Score]]&lt;30,"🔴",IF(Table1[[#This Row],[Engagement Score]]&lt;40,"🟡","🟢"))</f>
        <v>🟢</v>
      </c>
      <c r="Q170" s="23" t="s">
        <v>24</v>
      </c>
      <c r="R170" s="23" t="s">
        <v>24</v>
      </c>
      <c r="S170" s="23" t="s">
        <v>24</v>
      </c>
      <c r="T170" s="27" t="s">
        <v>24</v>
      </c>
    </row>
    <row r="171" spans="1:20" ht="32.1" customHeight="1">
      <c r="A171" s="15">
        <v>43</v>
      </c>
      <c r="B171" s="21" t="s">
        <v>39</v>
      </c>
      <c r="C171" s="66">
        <v>45931</v>
      </c>
      <c r="D171" s="80" t="s">
        <v>21</v>
      </c>
      <c r="E171" s="80" t="s">
        <v>22</v>
      </c>
      <c r="F171" s="14" t="s">
        <v>23</v>
      </c>
      <c r="G171" s="14">
        <v>108</v>
      </c>
      <c r="H171" s="14">
        <v>80</v>
      </c>
      <c r="I171" s="15">
        <v>8</v>
      </c>
      <c r="J171" s="23">
        <v>0</v>
      </c>
      <c r="K171" s="71">
        <f>(Table1[[#This Row],[unsub]]/Table1[[#This Row],[unique-sends]])*100</f>
        <v>0</v>
      </c>
      <c r="L171" s="72">
        <f>Table1[[#This Row],[unique-opens]] / Table1[[#This Row],[unique-sends]] * 100</f>
        <v>74.074074074074076</v>
      </c>
      <c r="M171" s="73">
        <f>Table1[[#This Row],[unique-clicks]] / Table1[[#This Row],[unique-sends]] * 100</f>
        <v>7.4074074074074066</v>
      </c>
      <c r="N171" s="73">
        <f>Table1[[#This Row],[unique-clicks]] / Table1[[#This Row],[unique-opens]] * 100</f>
        <v>10</v>
      </c>
      <c r="O171" s="73">
        <f>(MIN(Table1[[#This Row],[unique-opens]]/Table1[[#This Row],[unique-sends]],1)*50
 + MIN(Table1[[#This Row],[unique-clicks]]/Table1[[#This Row],[unique-sends]],1)*50)
 * (1 + MIN(Table1[[#This Row],[unique-clicks]]/Table1[[#This Row],[unique-sends]],1))
 - ((Table1[[#This Row],[unsub]]/Table1[[#This Row],[unique-sends]]*100)*2)</f>
        <v>43.758573388203011</v>
      </c>
      <c r="P171" s="11" t="str">
        <f>IF(Table1[[#This Row],[Engagement Score]]&lt;30,"🔴",IF(Table1[[#This Row],[Engagement Score]]&lt;40,"🟡","🟢"))</f>
        <v>🟢</v>
      </c>
      <c r="Q171" s="23"/>
      <c r="R171" s="23"/>
      <c r="S171" s="23"/>
      <c r="T171" s="26"/>
    </row>
    <row r="172" spans="1:20" ht="32.1" customHeight="1">
      <c r="A172" s="6">
        <v>44</v>
      </c>
      <c r="B172" s="21" t="s">
        <v>38</v>
      </c>
      <c r="C172" s="66">
        <v>45931</v>
      </c>
      <c r="D172" s="80" t="s">
        <v>21</v>
      </c>
      <c r="E172" s="80" t="s">
        <v>22</v>
      </c>
      <c r="F172" s="14" t="s">
        <v>23</v>
      </c>
      <c r="G172" s="14">
        <v>788</v>
      </c>
      <c r="H172" s="14">
        <v>532</v>
      </c>
      <c r="I172" s="15">
        <v>48</v>
      </c>
      <c r="J172" s="23">
        <v>1</v>
      </c>
      <c r="K172" s="71">
        <f>(Table1[[#This Row],[unsub]]/Table1[[#This Row],[unique-sends]])*100</f>
        <v>0.12690355329949238</v>
      </c>
      <c r="L172" s="72">
        <f>Table1[[#This Row],[unique-opens]] / Table1[[#This Row],[unique-sends]] * 100</f>
        <v>67.512690355329951</v>
      </c>
      <c r="M172" s="73">
        <f>Table1[[#This Row],[unique-clicks]] / Table1[[#This Row],[unique-sends]] * 100</f>
        <v>6.091370558375635</v>
      </c>
      <c r="N172" s="73">
        <f>Table1[[#This Row],[unique-clicks]] / Table1[[#This Row],[unique-opens]] * 100</f>
        <v>9.0225563909774422</v>
      </c>
      <c r="O172" s="73">
        <f>(MIN(Table1[[#This Row],[unique-opens]]/Table1[[#This Row],[unique-sends]],1)*50
 + MIN(Table1[[#This Row],[unique-clicks]]/Table1[[#This Row],[unique-sends]],1)*50)
 * (1 + MIN(Table1[[#This Row],[unique-clicks]]/Table1[[#This Row],[unique-sends]],1))
 - ((Table1[[#This Row],[unsub]]/Table1[[#This Row],[unique-sends]]*100)*2)</f>
        <v>38.789971398386967</v>
      </c>
      <c r="P172" s="11" t="str">
        <f>IF(Table1[[#This Row],[Engagement Score]]&lt;30,"🔴",IF(Table1[[#This Row],[Engagement Score]]&lt;40,"🟡","🟢"))</f>
        <v>🟡</v>
      </c>
      <c r="Q172" s="23" t="s">
        <v>24</v>
      </c>
      <c r="R172" s="23" t="s">
        <v>24</v>
      </c>
      <c r="S172" s="23" t="s">
        <v>24</v>
      </c>
      <c r="T172" s="27" t="s">
        <v>24</v>
      </c>
    </row>
    <row r="173" spans="1:20" ht="32.1" customHeight="1">
      <c r="A173" s="15">
        <v>38</v>
      </c>
      <c r="B173" s="21" t="s">
        <v>34</v>
      </c>
      <c r="C173" s="66">
        <v>45931</v>
      </c>
      <c r="D173" s="80" t="s">
        <v>21</v>
      </c>
      <c r="E173" s="80" t="s">
        <v>22</v>
      </c>
      <c r="F173" s="14" t="s">
        <v>23</v>
      </c>
      <c r="G173" s="14">
        <v>155</v>
      </c>
      <c r="H173" s="14">
        <v>150</v>
      </c>
      <c r="I173" s="15">
        <v>35</v>
      </c>
      <c r="J173" s="23">
        <v>1</v>
      </c>
      <c r="K173" s="71">
        <f>(Table1[[#This Row],[unsub]]/Table1[[#This Row],[unique-sends]])*100</f>
        <v>0.64516129032258063</v>
      </c>
      <c r="L173" s="72">
        <f>Table1[[#This Row],[unique-opens]] / Table1[[#This Row],[unique-sends]] * 100</f>
        <v>96.774193548387103</v>
      </c>
      <c r="M173" s="73">
        <f>Table1[[#This Row],[unique-clicks]] / Table1[[#This Row],[unique-sends]] * 100</f>
        <v>22.58064516129032</v>
      </c>
      <c r="N173" s="73">
        <f>Table1[[#This Row],[unique-clicks]] / Table1[[#This Row],[unique-opens]] * 100</f>
        <v>23.333333333333332</v>
      </c>
      <c r="O173" s="73">
        <f>(MIN(Table1[[#This Row],[unique-opens]]/Table1[[#This Row],[unique-sends]],1)*50
 + MIN(Table1[[#This Row],[unique-clicks]]/Table1[[#This Row],[unique-sends]],1)*50)
 * (1 + MIN(Table1[[#This Row],[unique-clicks]]/Table1[[#This Row],[unique-sends]],1))
 - ((Table1[[#This Row],[unsub]]/Table1[[#This Row],[unique-sends]]*100)*2)</f>
        <v>71.862643080124869</v>
      </c>
      <c r="P173" s="11" t="str">
        <f>IF(Table1[[#This Row],[Engagement Score]]&lt;30,"🔴",IF(Table1[[#This Row],[Engagement Score]]&lt;40,"🟡","🟢"))</f>
        <v>🟢</v>
      </c>
      <c r="Q173" s="23"/>
      <c r="R173" s="23"/>
      <c r="S173" s="23"/>
      <c r="T173" s="26"/>
    </row>
    <row r="174" spans="1:20" ht="32.1" customHeight="1">
      <c r="A174" s="6">
        <v>35</v>
      </c>
      <c r="B174" s="22" t="s">
        <v>32</v>
      </c>
      <c r="C174" s="66">
        <v>45931</v>
      </c>
      <c r="D174" s="80" t="s">
        <v>21</v>
      </c>
      <c r="E174" s="80" t="s">
        <v>22</v>
      </c>
      <c r="F174" s="14" t="s">
        <v>23</v>
      </c>
      <c r="G174" s="16">
        <v>26581</v>
      </c>
      <c r="H174" s="14">
        <v>13349</v>
      </c>
      <c r="I174" s="15">
        <v>1641</v>
      </c>
      <c r="J174" s="23">
        <v>39</v>
      </c>
      <c r="K174" s="71">
        <f>(Table1[[#This Row],[unsub]]/Table1[[#This Row],[unique-sends]])*100</f>
        <v>0.14672134231217787</v>
      </c>
      <c r="L174" s="72">
        <f>Table1[[#This Row],[unique-opens]] / Table1[[#This Row],[unique-sends]] * 100</f>
        <v>50.220082013468271</v>
      </c>
      <c r="M174" s="73">
        <f>Table1[[#This Row],[unique-clicks]] / Table1[[#This Row],[unique-sends]] * 100</f>
        <v>6.1735826342124076</v>
      </c>
      <c r="N174" s="73">
        <f>Table1[[#This Row],[unique-clicks]] / Table1[[#This Row],[unique-opens]] * 100</f>
        <v>12.29305565959997</v>
      </c>
      <c r="O174" s="73">
        <f>(MIN(Table1[[#This Row],[unique-opens]]/Table1[[#This Row],[unique-sends]],1)*50
 + MIN(Table1[[#This Row],[unique-clicks]]/Table1[[#This Row],[unique-sends]],1)*50)
 * (1 + MIN(Table1[[#This Row],[unique-clicks]]/Table1[[#This Row],[unique-sends]],1))
 - ((Table1[[#This Row],[unsub]]/Table1[[#This Row],[unique-sends]]*100)*2)</f>
        <v>29.644144382958583</v>
      </c>
      <c r="P174" s="11" t="str">
        <f>IF(Table1[[#This Row],[Engagement Score]]&lt;30,"🔴",IF(Table1[[#This Row],[Engagement Score]]&lt;40,"🟡","🟢"))</f>
        <v>🔴</v>
      </c>
      <c r="Q174" s="23"/>
      <c r="R174" s="23"/>
      <c r="S174" s="23"/>
      <c r="T174" s="26"/>
    </row>
    <row r="175" spans="1:20" ht="32.1" customHeight="1">
      <c r="A175" s="15">
        <v>36</v>
      </c>
      <c r="B175" s="22" t="s">
        <v>32</v>
      </c>
      <c r="C175" s="66">
        <v>45931</v>
      </c>
      <c r="D175" s="80" t="s">
        <v>29</v>
      </c>
      <c r="E175" s="80" t="s">
        <v>22</v>
      </c>
      <c r="F175" s="14" t="s">
        <v>23</v>
      </c>
      <c r="G175" s="16">
        <v>1043</v>
      </c>
      <c r="H175" s="14">
        <v>696</v>
      </c>
      <c r="I175" s="15">
        <v>146</v>
      </c>
      <c r="J175" s="23">
        <v>0</v>
      </c>
      <c r="K175" s="71">
        <f>(Table1[[#This Row],[unsub]]/Table1[[#This Row],[unique-sends]])*100</f>
        <v>0</v>
      </c>
      <c r="L175" s="72">
        <f>Table1[[#This Row],[unique-opens]] / Table1[[#This Row],[unique-sends]] * 100</f>
        <v>66.730584851390219</v>
      </c>
      <c r="M175" s="73">
        <f>Table1[[#This Row],[unique-clicks]] / Table1[[#This Row],[unique-sends]] * 100</f>
        <v>13.998082454458293</v>
      </c>
      <c r="N175" s="73">
        <f>Table1[[#This Row],[unique-clicks]] / Table1[[#This Row],[unique-opens]] * 100</f>
        <v>20.977011494252874</v>
      </c>
      <c r="O175" s="73">
        <f>(MIN(Table1[[#This Row],[unique-opens]]/Table1[[#This Row],[unique-sends]],1)*50
 + MIN(Table1[[#This Row],[unique-clicks]]/Table1[[#This Row],[unique-sends]],1)*50)
 * (1 + MIN(Table1[[#This Row],[unique-clicks]]/Table1[[#This Row],[unique-sends]],1))
 - ((Table1[[#This Row],[unsub]]/Table1[[#This Row],[unique-sends]]*100)*2)</f>
        <v>46.014566359853248</v>
      </c>
      <c r="P175" s="11" t="str">
        <f>IF(Table1[[#This Row],[Engagement Score]]&lt;30,"🔴",IF(Table1[[#This Row],[Engagement Score]]&lt;40,"🟡","🟢"))</f>
        <v>🟢</v>
      </c>
      <c r="Q175" s="23" t="s">
        <v>24</v>
      </c>
      <c r="R175" s="23" t="s">
        <v>24</v>
      </c>
      <c r="S175" s="23" t="s">
        <v>24</v>
      </c>
      <c r="T175" s="27" t="s">
        <v>24</v>
      </c>
    </row>
    <row r="176" spans="1:20" ht="32.1" customHeight="1">
      <c r="A176" s="14">
        <v>34</v>
      </c>
      <c r="B176" s="21" t="s">
        <v>31</v>
      </c>
      <c r="C176" s="66">
        <v>45931</v>
      </c>
      <c r="D176" s="80" t="s">
        <v>21</v>
      </c>
      <c r="E176" s="80" t="s">
        <v>22</v>
      </c>
      <c r="F176" s="14" t="s">
        <v>23</v>
      </c>
      <c r="G176" s="16">
        <v>4137</v>
      </c>
      <c r="H176" s="14">
        <v>3591</v>
      </c>
      <c r="I176" s="15">
        <v>113</v>
      </c>
      <c r="J176" s="23">
        <v>113</v>
      </c>
      <c r="K176" s="71">
        <f>(Table1[[#This Row],[unsub]]/Table1[[#This Row],[unique-sends]])*100</f>
        <v>2.7314479091128838</v>
      </c>
      <c r="L176" s="72">
        <f>Table1[[#This Row],[unique-opens]] / Table1[[#This Row],[unique-sends]] * 100</f>
        <v>86.802030456852791</v>
      </c>
      <c r="M176" s="73">
        <f>Table1[[#This Row],[unique-clicks]] / Table1[[#This Row],[unique-sends]] * 100</f>
        <v>2.7314479091128838</v>
      </c>
      <c r="N176" s="73">
        <f>Table1[[#This Row],[unique-clicks]] / Table1[[#This Row],[unique-opens]] * 100</f>
        <v>3.1467557783347253</v>
      </c>
      <c r="O176" s="73">
        <f>(MIN(Table1[[#This Row],[unique-opens]]/Table1[[#This Row],[unique-sends]],1)*50
 + MIN(Table1[[#This Row],[unique-clicks]]/Table1[[#This Row],[unique-sends]],1)*50)
 * (1 + MIN(Table1[[#This Row],[unique-clicks]]/Table1[[#This Row],[unique-sends]],1))
 - ((Table1[[#This Row],[unsub]]/Table1[[#This Row],[unique-sends]]*100)*2)</f>
        <v>40.526623526148676</v>
      </c>
      <c r="P176" s="11" t="str">
        <f>IF(Table1[[#This Row],[Engagement Score]]&lt;30,"🔴",IF(Table1[[#This Row],[Engagement Score]]&lt;40,"🟡","🟢"))</f>
        <v>🟢</v>
      </c>
      <c r="Q176" s="23"/>
      <c r="R176" s="23"/>
      <c r="S176" s="23"/>
      <c r="T176" s="26"/>
    </row>
    <row r="177" spans="1:20" ht="32.1" customHeight="1">
      <c r="A177" s="14">
        <v>14</v>
      </c>
      <c r="B177" s="28" t="s">
        <v>20</v>
      </c>
      <c r="C177" s="66">
        <v>45931</v>
      </c>
      <c r="D177" s="80" t="s">
        <v>21</v>
      </c>
      <c r="E177" s="80" t="s">
        <v>22</v>
      </c>
      <c r="F177" s="14" t="s">
        <v>23</v>
      </c>
      <c r="G177" s="16">
        <v>2110</v>
      </c>
      <c r="H177" s="14">
        <v>2116</v>
      </c>
      <c r="I177" s="15">
        <v>69</v>
      </c>
      <c r="J177" s="23">
        <v>12</v>
      </c>
      <c r="K177" s="71">
        <f>(Table1[[#This Row],[unsub]]/Table1[[#This Row],[unique-sends]])*100</f>
        <v>0.56872037914691942</v>
      </c>
      <c r="L177" s="72">
        <f>Table1[[#This Row],[unique-opens]] / Table1[[#This Row],[unique-sends]] * 100</f>
        <v>100.28436018957345</v>
      </c>
      <c r="M177" s="73">
        <f>Table1[[#This Row],[unique-clicks]] / Table1[[#This Row],[unique-sends]] * 100</f>
        <v>3.2701421800947865</v>
      </c>
      <c r="N177" s="73">
        <f>Table1[[#This Row],[unique-clicks]] / Table1[[#This Row],[unique-opens]] * 100</f>
        <v>3.2608695652173911</v>
      </c>
      <c r="O177" s="73">
        <f>(MIN(Table1[[#This Row],[unique-opens]]/Table1[[#This Row],[unique-sends]],1)*50
 + MIN(Table1[[#This Row],[unique-clicks]]/Table1[[#This Row],[unique-sends]],1)*50)
 * (1 + MIN(Table1[[#This Row],[unique-clicks]]/Table1[[#This Row],[unique-sends]],1))
 - ((Table1[[#This Row],[unsub]]/Table1[[#This Row],[unique-sends]]*100)*2)</f>
        <v>52.186170571191113</v>
      </c>
      <c r="P177" s="11" t="str">
        <f>IF(Table1[[#This Row],[Engagement Score]]&lt;30,"🔴",IF(Table1[[#This Row],[Engagement Score]]&lt;40,"🟡","🟢"))</f>
        <v>🟢</v>
      </c>
      <c r="Q177" s="23" t="s">
        <v>24</v>
      </c>
      <c r="R177" s="23" t="s">
        <v>24</v>
      </c>
      <c r="S177" s="23" t="s">
        <v>24</v>
      </c>
      <c r="T177" s="27" t="s">
        <v>24</v>
      </c>
    </row>
    <row r="178" spans="1:20" ht="32.1" customHeight="1">
      <c r="A178" s="14">
        <v>55</v>
      </c>
      <c r="B178" s="21" t="s">
        <v>186</v>
      </c>
      <c r="C178" s="66">
        <v>45931</v>
      </c>
      <c r="D178" s="80" t="s">
        <v>29</v>
      </c>
      <c r="E178" s="80" t="s">
        <v>22</v>
      </c>
      <c r="F178" s="14" t="s">
        <v>23</v>
      </c>
      <c r="G178" s="14">
        <v>151</v>
      </c>
      <c r="H178" s="14">
        <v>83</v>
      </c>
      <c r="I178" s="15">
        <v>4</v>
      </c>
      <c r="J178" s="23">
        <v>0</v>
      </c>
      <c r="K178" s="71">
        <f>(Table1[[#This Row],[unsub]]/Table1[[#This Row],[unique-sends]])*100</f>
        <v>0</v>
      </c>
      <c r="L178" s="72">
        <f>Table1[[#This Row],[unique-opens]] / Table1[[#This Row],[unique-sends]] * 100</f>
        <v>54.966887417218544</v>
      </c>
      <c r="M178" s="73">
        <f>Table1[[#This Row],[unique-clicks]] / Table1[[#This Row],[unique-sends]] * 100</f>
        <v>2.6490066225165565</v>
      </c>
      <c r="N178" s="73">
        <f>Table1[[#This Row],[unique-clicks]] / Table1[[#This Row],[unique-opens]] * 100</f>
        <v>4.8192771084337354</v>
      </c>
      <c r="O178" s="73">
        <f>(MIN(Table1[[#This Row],[unique-opens]]/Table1[[#This Row],[unique-sends]],1)*50
 + MIN(Table1[[#This Row],[unique-clicks]]/Table1[[#This Row],[unique-sends]],1)*50)
 * (1 + MIN(Table1[[#This Row],[unique-clicks]]/Table1[[#This Row],[unique-sends]],1))
 - ((Table1[[#This Row],[unsub]]/Table1[[#This Row],[unique-sends]]*100)*2)</f>
        <v>29.571071444234903</v>
      </c>
      <c r="P178" s="11" t="str">
        <f>IF(Table1[[#This Row],[Engagement Score]]&lt;30,"🔴",IF(Table1[[#This Row],[Engagement Score]]&lt;40,"🟡","🟢"))</f>
        <v>🔴</v>
      </c>
      <c r="Q178" s="23"/>
      <c r="R178" s="23"/>
      <c r="S178" s="23"/>
      <c r="T178" s="26"/>
    </row>
    <row r="179" spans="1:20" ht="32.1" customHeight="1">
      <c r="A179" s="14">
        <v>54</v>
      </c>
      <c r="B179" s="21" t="s">
        <v>186</v>
      </c>
      <c r="C179" s="66">
        <v>45931</v>
      </c>
      <c r="D179" s="80" t="s">
        <v>21</v>
      </c>
      <c r="E179" s="80" t="s">
        <v>22</v>
      </c>
      <c r="F179" s="14" t="s">
        <v>23</v>
      </c>
      <c r="G179" s="16">
        <v>3574</v>
      </c>
      <c r="H179" s="14">
        <v>2296</v>
      </c>
      <c r="I179" s="15">
        <v>138</v>
      </c>
      <c r="J179" s="23">
        <v>5</v>
      </c>
      <c r="K179" s="71">
        <f>(Table1[[#This Row],[unsub]]/Table1[[#This Row],[unique-sends]])*100</f>
        <v>0.13989927252378287</v>
      </c>
      <c r="L179" s="72">
        <f>Table1[[#This Row],[unique-opens]] / Table1[[#This Row],[unique-sends]] * 100</f>
        <v>64.241745942921085</v>
      </c>
      <c r="M179" s="73">
        <f>Table1[[#This Row],[unique-clicks]] / Table1[[#This Row],[unique-sends]] * 100</f>
        <v>3.8612199216564074</v>
      </c>
      <c r="N179" s="73">
        <f>Table1[[#This Row],[unique-clicks]] / Table1[[#This Row],[unique-opens]] * 100</f>
        <v>6.010452961672474</v>
      </c>
      <c r="O179" s="73">
        <f>(MIN(Table1[[#This Row],[unique-opens]]/Table1[[#This Row],[unique-sends]],1)*50
 + MIN(Table1[[#This Row],[unique-clicks]]/Table1[[#This Row],[unique-sends]],1)*50)
 * (1 + MIN(Table1[[#This Row],[unique-clicks]]/Table1[[#This Row],[unique-sends]],1))
 - ((Table1[[#This Row],[unsub]]/Table1[[#This Row],[unique-sends]]*100)*2)</f>
        <v>35.086487029842147</v>
      </c>
      <c r="P179" s="11" t="str">
        <f>IF(Table1[[#This Row],[Engagement Score]]&lt;30,"🔴",IF(Table1[[#This Row],[Engagement Score]]&lt;40,"🟡","🟢"))</f>
        <v>🟡</v>
      </c>
      <c r="Q179" s="23" t="s">
        <v>24</v>
      </c>
      <c r="R179" s="23" t="s">
        <v>24</v>
      </c>
      <c r="S179" s="23" t="s">
        <v>24</v>
      </c>
      <c r="T179" s="27" t="s">
        <v>24</v>
      </c>
    </row>
    <row r="180" spans="1:20" ht="32.1" customHeight="1">
      <c r="A180" s="14">
        <v>23</v>
      </c>
      <c r="B180" s="17" t="s">
        <v>187</v>
      </c>
      <c r="C180" s="66">
        <v>45931</v>
      </c>
      <c r="D180" s="79" t="s">
        <v>21</v>
      </c>
      <c r="E180" s="79" t="s">
        <v>22</v>
      </c>
      <c r="F180" s="8" t="s">
        <v>23</v>
      </c>
      <c r="G180" s="8">
        <v>262</v>
      </c>
      <c r="H180" s="8">
        <v>187</v>
      </c>
      <c r="I180" s="6">
        <v>20</v>
      </c>
      <c r="J180" s="8">
        <v>0</v>
      </c>
      <c r="K180" s="71">
        <f>(Table1[[#This Row],[unsub]]/Table1[[#This Row],[unique-sends]])*100</f>
        <v>0</v>
      </c>
      <c r="L180" s="72">
        <f>Table1[[#This Row],[unique-opens]] / Table1[[#This Row],[unique-sends]] * 100</f>
        <v>71.374045801526719</v>
      </c>
      <c r="M180" s="73">
        <f>Table1[[#This Row],[unique-clicks]] / Table1[[#This Row],[unique-sends]] * 100</f>
        <v>7.6335877862595423</v>
      </c>
      <c r="N180" s="73">
        <f>Table1[[#This Row],[unique-clicks]] / Table1[[#This Row],[unique-opens]] * 100</f>
        <v>10.695187165775401</v>
      </c>
      <c r="O180" s="73">
        <f>(MIN(Table1[[#This Row],[unique-opens]]/Table1[[#This Row],[unique-sends]],1)*50
 + MIN(Table1[[#This Row],[unique-clicks]]/Table1[[#This Row],[unique-sends]],1)*50)
 * (1 + MIN(Table1[[#This Row],[unique-clicks]]/Table1[[#This Row],[unique-sends]],1))
 - ((Table1[[#This Row],[unsub]]/Table1[[#This Row],[unique-sends]]*100)*2)</f>
        <v>42.5193753277781</v>
      </c>
      <c r="P180" s="11" t="str">
        <f>IF(Table1[[#This Row],[Engagement Score]]&lt;30,"🔴",IF(Table1[[#This Row],[Engagement Score]]&lt;40,"🟡","🟢"))</f>
        <v>🟢</v>
      </c>
      <c r="Q180" s="23"/>
      <c r="R180" s="23"/>
      <c r="S180" s="23"/>
      <c r="T180" s="26"/>
    </row>
    <row r="181" spans="1:20" ht="32.1" customHeight="1">
      <c r="A181" s="14">
        <v>22</v>
      </c>
      <c r="B181" s="21" t="s">
        <v>188</v>
      </c>
      <c r="C181" s="66">
        <v>45931</v>
      </c>
      <c r="D181" s="80" t="s">
        <v>21</v>
      </c>
      <c r="E181" s="80" t="s">
        <v>22</v>
      </c>
      <c r="F181" s="14" t="s">
        <v>23</v>
      </c>
      <c r="G181" s="14">
        <v>376</v>
      </c>
      <c r="H181" s="14">
        <v>281</v>
      </c>
      <c r="I181" s="15">
        <v>89</v>
      </c>
      <c r="J181" s="14">
        <v>0</v>
      </c>
      <c r="K181" s="71">
        <f>(Table1[[#This Row],[unsub]]/Table1[[#This Row],[unique-sends]])*100</f>
        <v>0</v>
      </c>
      <c r="L181" s="72">
        <f>Table1[[#This Row],[unique-opens]] / Table1[[#This Row],[unique-sends]] * 100</f>
        <v>74.7340425531915</v>
      </c>
      <c r="M181" s="73">
        <f>Table1[[#This Row],[unique-clicks]] / Table1[[#This Row],[unique-sends]] * 100</f>
        <v>23.670212765957448</v>
      </c>
      <c r="N181" s="73">
        <f>Table1[[#This Row],[unique-clicks]] / Table1[[#This Row],[unique-opens]] * 100</f>
        <v>31.672597864768683</v>
      </c>
      <c r="O181" s="73">
        <f>(MIN(Table1[[#This Row],[unique-opens]]/Table1[[#This Row],[unique-sends]],1)*50
 + MIN(Table1[[#This Row],[unique-clicks]]/Table1[[#This Row],[unique-sends]],1)*50)
 * (1 + MIN(Table1[[#This Row],[unique-clicks]]/Table1[[#This Row],[unique-sends]],1))
 - ((Table1[[#This Row],[unsub]]/Table1[[#This Row],[unique-sends]]*100)*2)</f>
        <v>60.848375961973744</v>
      </c>
      <c r="P181" s="11" t="str">
        <f>IF(Table1[[#This Row],[Engagement Score]]&lt;30,"🔴",IF(Table1[[#This Row],[Engagement Score]]&lt;40,"🟡","🟢"))</f>
        <v>🟢</v>
      </c>
      <c r="Q181" s="23"/>
      <c r="R181" s="23"/>
      <c r="S181" s="23"/>
      <c r="T181" s="26"/>
    </row>
    <row r="182" spans="1:20" ht="32.1" customHeight="1">
      <c r="A182" s="14">
        <v>21</v>
      </c>
      <c r="B182" s="17" t="s">
        <v>189</v>
      </c>
      <c r="C182" s="65">
        <v>45931</v>
      </c>
      <c r="D182" s="79" t="s">
        <v>21</v>
      </c>
      <c r="E182" s="79" t="s">
        <v>22</v>
      </c>
      <c r="F182" s="8" t="s">
        <v>23</v>
      </c>
      <c r="G182" s="8">
        <v>389</v>
      </c>
      <c r="H182" s="8">
        <v>237</v>
      </c>
      <c r="I182" s="6">
        <v>52</v>
      </c>
      <c r="J182" s="8">
        <v>0</v>
      </c>
      <c r="K182" s="71">
        <f>(Table1[[#This Row],[unsub]]/Table1[[#This Row],[unique-sends]])*100</f>
        <v>0</v>
      </c>
      <c r="L182" s="72">
        <f>Table1[[#This Row],[unique-opens]] / Table1[[#This Row],[unique-sends]] * 100</f>
        <v>60.925449871465297</v>
      </c>
      <c r="M182" s="73">
        <f>Table1[[#This Row],[unique-clicks]] / Table1[[#This Row],[unique-sends]] * 100</f>
        <v>13.367609254498714</v>
      </c>
      <c r="N182" s="73">
        <f>Table1[[#This Row],[unique-clicks]] / Table1[[#This Row],[unique-opens]] * 100</f>
        <v>21.940928270042196</v>
      </c>
      <c r="O182" s="73">
        <f>(MIN(Table1[[#This Row],[unique-opens]]/Table1[[#This Row],[unique-sends]],1)*50
 + MIN(Table1[[#This Row],[unique-clicks]]/Table1[[#This Row],[unique-sends]],1)*50)
 * (1 + MIN(Table1[[#This Row],[unique-clicks]]/Table1[[#This Row],[unique-sends]],1))
 - ((Table1[[#This Row],[unsub]]/Table1[[#This Row],[unique-sends]]*100)*2)</f>
        <v>42.112132486568285</v>
      </c>
      <c r="P182" s="11" t="str">
        <f>IF(Table1[[#This Row],[Engagement Score]]&lt;30,"🔴",IF(Table1[[#This Row],[Engagement Score]]&lt;40,"🟡","🟢"))</f>
        <v>🟢</v>
      </c>
      <c r="Q182" s="23"/>
      <c r="R182" s="23"/>
      <c r="S182" s="23"/>
      <c r="T182" s="26"/>
    </row>
    <row r="183" spans="1:20" ht="32.1" customHeight="1">
      <c r="A183" s="14">
        <v>20</v>
      </c>
      <c r="B183" s="21" t="s">
        <v>190</v>
      </c>
      <c r="C183" s="65">
        <v>45931</v>
      </c>
      <c r="D183" s="80" t="s">
        <v>21</v>
      </c>
      <c r="E183" s="80" t="s">
        <v>22</v>
      </c>
      <c r="F183" s="14" t="s">
        <v>23</v>
      </c>
      <c r="G183" s="14">
        <v>612</v>
      </c>
      <c r="H183" s="14">
        <v>327</v>
      </c>
      <c r="I183" s="15">
        <v>29</v>
      </c>
      <c r="J183" s="14">
        <v>0</v>
      </c>
      <c r="K183" s="71">
        <f>(Table1[[#This Row],[unsub]]/Table1[[#This Row],[unique-sends]])*100</f>
        <v>0</v>
      </c>
      <c r="L183" s="72">
        <f>Table1[[#This Row],[unique-opens]] / Table1[[#This Row],[unique-sends]] * 100</f>
        <v>53.431372549019606</v>
      </c>
      <c r="M183" s="73">
        <f>Table1[[#This Row],[unique-clicks]] / Table1[[#This Row],[unique-sends]] * 100</f>
        <v>4.738562091503268</v>
      </c>
      <c r="N183" s="73">
        <f>Table1[[#This Row],[unique-clicks]] / Table1[[#This Row],[unique-opens]] * 100</f>
        <v>8.8685015290519882</v>
      </c>
      <c r="O183" s="73">
        <f>(MIN(Table1[[#This Row],[unique-opens]]/Table1[[#This Row],[unique-sends]],1)*50
 + MIN(Table1[[#This Row],[unique-clicks]]/Table1[[#This Row],[unique-sends]],1)*50)
 * (1 + MIN(Table1[[#This Row],[unique-clicks]]/Table1[[#This Row],[unique-sends]],1))
 - ((Table1[[#This Row],[unsub]]/Table1[[#This Row],[unique-sends]]*100)*2)</f>
        <v>30.463176556025463</v>
      </c>
      <c r="P183" s="11" t="str">
        <f>IF(Table1[[#This Row],[Engagement Score]]&lt;30,"🔴",IF(Table1[[#This Row],[Engagement Score]]&lt;40,"🟡","🟢"))</f>
        <v>🟡</v>
      </c>
      <c r="Q183" s="23"/>
      <c r="R183" s="23"/>
      <c r="S183" s="23"/>
      <c r="T183" s="26"/>
    </row>
    <row r="184" spans="1:20" ht="32.1" customHeight="1">
      <c r="A184" s="14">
        <v>51</v>
      </c>
      <c r="B184" s="17" t="s">
        <v>157</v>
      </c>
      <c r="C184" s="65">
        <v>45931</v>
      </c>
      <c r="D184" s="80" t="s">
        <v>21</v>
      </c>
      <c r="E184" s="80" t="s">
        <v>22</v>
      </c>
      <c r="F184" s="9" t="s">
        <v>23</v>
      </c>
      <c r="G184" s="14">
        <v>417</v>
      </c>
      <c r="H184" s="14">
        <v>251</v>
      </c>
      <c r="I184" s="15">
        <v>13</v>
      </c>
      <c r="J184" s="14">
        <v>1</v>
      </c>
      <c r="K184" s="71">
        <f>(Table1[[#This Row],[unsub]]/Table1[[#This Row],[unique-sends]])*100</f>
        <v>0.23980815347721821</v>
      </c>
      <c r="L184" s="72">
        <f>Table1[[#This Row],[unique-opens]] / Table1[[#This Row],[unique-sends]] * 100</f>
        <v>60.19184652278178</v>
      </c>
      <c r="M184" s="73">
        <f>Table1[[#This Row],[unique-clicks]] / Table1[[#This Row],[unique-sends]] * 100</f>
        <v>3.1175059952038371</v>
      </c>
      <c r="N184" s="73">
        <f>Table1[[#This Row],[unique-clicks]] / Table1[[#This Row],[unique-opens]] * 100</f>
        <v>5.1792828685258963</v>
      </c>
      <c r="O184" s="73">
        <f>(MIN(Table1[[#This Row],[unique-opens]]/Table1[[#This Row],[unique-sends]],1)*50
 + MIN(Table1[[#This Row],[unique-clicks]]/Table1[[#This Row],[unique-sends]],1)*50)
 * (1 + MIN(Table1[[#This Row],[unique-clicks]]/Table1[[#This Row],[unique-sends]],1))
 - ((Table1[[#This Row],[unsub]]/Table1[[#This Row],[unique-sends]]*100)*2)</f>
        <v>32.161896382174845</v>
      </c>
      <c r="P184" s="11" t="str">
        <f>IF(Table1[[#This Row],[Engagement Score]]&lt;30,"🔴",IF(Table1[[#This Row],[Engagement Score]]&lt;40,"🟡","🟢"))</f>
        <v>🟡</v>
      </c>
      <c r="Q184" s="8">
        <v>0</v>
      </c>
      <c r="R184" s="8">
        <v>0</v>
      </c>
      <c r="S184" s="8">
        <v>0</v>
      </c>
      <c r="T184" s="14" t="s">
        <v>24</v>
      </c>
    </row>
    <row r="185" spans="1:20" ht="32.1" customHeight="1">
      <c r="A185" s="14">
        <v>53</v>
      </c>
      <c r="B185" s="21" t="s">
        <v>158</v>
      </c>
      <c r="C185" s="65">
        <v>45931</v>
      </c>
      <c r="D185" s="79" t="s">
        <v>29</v>
      </c>
      <c r="E185" s="78" t="s">
        <v>22</v>
      </c>
      <c r="F185" s="9" t="s">
        <v>23</v>
      </c>
      <c r="G185" s="14">
        <v>70</v>
      </c>
      <c r="H185" s="14">
        <v>34</v>
      </c>
      <c r="I185" s="15">
        <v>2</v>
      </c>
      <c r="J185" s="14">
        <v>0</v>
      </c>
      <c r="K185" s="71">
        <f>(Table1[[#This Row],[unsub]]/Table1[[#This Row],[unique-sends]])*100</f>
        <v>0</v>
      </c>
      <c r="L185" s="72">
        <f>Table1[[#This Row],[unique-opens]] / Table1[[#This Row],[unique-sends]] * 100</f>
        <v>48.571428571428569</v>
      </c>
      <c r="M185" s="73">
        <f>Table1[[#This Row],[unique-clicks]] / Table1[[#This Row],[unique-sends]] * 100</f>
        <v>2.8571428571428572</v>
      </c>
      <c r="N185" s="73">
        <f>Table1[[#This Row],[unique-clicks]] / Table1[[#This Row],[unique-opens]] * 100</f>
        <v>5.8823529411764701</v>
      </c>
      <c r="O185" s="73">
        <f>(MIN(Table1[[#This Row],[unique-opens]]/Table1[[#This Row],[unique-sends]],1)*50
 + MIN(Table1[[#This Row],[unique-clicks]]/Table1[[#This Row],[unique-sends]],1)*50)
 * (1 + MIN(Table1[[#This Row],[unique-clicks]]/Table1[[#This Row],[unique-sends]],1))
 - ((Table1[[#This Row],[unsub]]/Table1[[#This Row],[unique-sends]]*100)*2)</f>
        <v>26.448979591836729</v>
      </c>
      <c r="P185" s="11" t="str">
        <f>IF(Table1[[#This Row],[Engagement Score]]&lt;30,"🔴",IF(Table1[[#This Row],[Engagement Score]]&lt;40,"🟡","🟢"))</f>
        <v>🔴</v>
      </c>
      <c r="Q185" s="14">
        <v>0</v>
      </c>
      <c r="R185" s="14">
        <v>0</v>
      </c>
      <c r="S185" s="14">
        <v>0</v>
      </c>
      <c r="T185" s="14" t="s">
        <v>24</v>
      </c>
    </row>
    <row r="186" spans="1:20" ht="32.1" customHeight="1">
      <c r="A186" s="14">
        <v>31</v>
      </c>
      <c r="B186" s="21" t="s">
        <v>177</v>
      </c>
      <c r="C186" s="66">
        <v>45933</v>
      </c>
      <c r="D186" s="80" t="s">
        <v>29</v>
      </c>
      <c r="E186" s="80" t="s">
        <v>26</v>
      </c>
      <c r="F186" s="14" t="s">
        <v>27</v>
      </c>
      <c r="G186" s="14">
        <v>910</v>
      </c>
      <c r="H186" s="14">
        <v>521</v>
      </c>
      <c r="I186" s="15">
        <v>35</v>
      </c>
      <c r="J186" s="23">
        <v>0</v>
      </c>
      <c r="K186" s="71">
        <f>(Table1[[#This Row],[unsub]]/Table1[[#This Row],[unique-sends]])*100</f>
        <v>0</v>
      </c>
      <c r="L186" s="72">
        <f>Table1[[#This Row],[unique-opens]] / Table1[[#This Row],[unique-sends]] * 100</f>
        <v>57.252747252747248</v>
      </c>
      <c r="M186" s="73">
        <f>Table1[[#This Row],[unique-clicks]] / Table1[[#This Row],[unique-sends]] * 100</f>
        <v>3.8461538461538463</v>
      </c>
      <c r="N186" s="73">
        <f>Table1[[#This Row],[unique-clicks]] / Table1[[#This Row],[unique-opens]] * 100</f>
        <v>6.7178502879078703</v>
      </c>
      <c r="O186" s="73">
        <f>(MIN(Table1[[#This Row],[unique-opens]]/Table1[[#This Row],[unique-sends]],1)*50
 + MIN(Table1[[#This Row],[unique-clicks]]/Table1[[#This Row],[unique-sends]],1)*50)
 * (1 + MIN(Table1[[#This Row],[unique-clicks]]/Table1[[#This Row],[unique-sends]],1))
 - ((Table1[[#This Row],[unsub]]/Table1[[#This Row],[unique-sends]]*100)*2)</f>
        <v>31.724429416737109</v>
      </c>
      <c r="P186" s="11" t="str">
        <f>IF(Table1[[#This Row],[Engagement Score]]&lt;30,"🔴",IF(Table1[[#This Row],[Engagement Score]]&lt;40,"🟡","🟢"))</f>
        <v>🟡</v>
      </c>
      <c r="Q186" s="23">
        <v>86</v>
      </c>
      <c r="R186" s="23">
        <v>10</v>
      </c>
      <c r="S186" s="23">
        <v>4</v>
      </c>
      <c r="T186" s="29" t="s">
        <v>178</v>
      </c>
    </row>
    <row r="187" spans="1:20" ht="32.1" customHeight="1">
      <c r="A187" s="14">
        <v>31</v>
      </c>
      <c r="B187" s="21" t="s">
        <v>177</v>
      </c>
      <c r="C187" s="66">
        <v>45933</v>
      </c>
      <c r="D187" s="80" t="s">
        <v>21</v>
      </c>
      <c r="E187" s="80" t="s">
        <v>26</v>
      </c>
      <c r="F187" s="14" t="s">
        <v>27</v>
      </c>
      <c r="G187" s="16">
        <v>13333</v>
      </c>
      <c r="H187" s="14">
        <v>7023</v>
      </c>
      <c r="I187" s="15">
        <v>165</v>
      </c>
      <c r="J187" s="23">
        <v>4</v>
      </c>
      <c r="K187" s="71">
        <f>(Table1[[#This Row],[unsub]]/Table1[[#This Row],[unique-sends]])*100</f>
        <v>3.0000750018750466E-2</v>
      </c>
      <c r="L187" s="72">
        <f>Table1[[#This Row],[unique-opens]] / Table1[[#This Row],[unique-sends]] * 100</f>
        <v>52.673816845421143</v>
      </c>
      <c r="M187" s="73">
        <f>Table1[[#This Row],[unique-clicks]] / Table1[[#This Row],[unique-sends]] * 100</f>
        <v>1.2375309382734569</v>
      </c>
      <c r="N187" s="73">
        <f>Table1[[#This Row],[unique-clicks]] / Table1[[#This Row],[unique-opens]] * 100</f>
        <v>2.3494233233660831</v>
      </c>
      <c r="O187" s="73">
        <f>(MIN(Table1[[#This Row],[unique-opens]]/Table1[[#This Row],[unique-sends]],1)*50
 + MIN(Table1[[#This Row],[unique-clicks]]/Table1[[#This Row],[unique-sends]],1)*50)
 * (1 + MIN(Table1[[#This Row],[unique-clicks]]/Table1[[#This Row],[unique-sends]],1))
 - ((Table1[[#This Row],[unsub]]/Table1[[#This Row],[unique-sends]]*100)*2)</f>
        <v>27.229257195841512</v>
      </c>
      <c r="P187" s="11" t="str">
        <f>IF(Table1[[#This Row],[Engagement Score]]&lt;30,"🔴",IF(Table1[[#This Row],[Engagement Score]]&lt;40,"🟡","🟢"))</f>
        <v>🔴</v>
      </c>
      <c r="Q187" s="23">
        <v>71.099999999999994</v>
      </c>
      <c r="R187" s="23">
        <v>16.5</v>
      </c>
      <c r="S187" s="23">
        <v>12.4</v>
      </c>
      <c r="T187" s="29" t="s">
        <v>179</v>
      </c>
    </row>
    <row r="188" spans="1:20" ht="32.1" customHeight="1">
      <c r="A188" s="14">
        <v>31</v>
      </c>
      <c r="B188" s="21" t="s">
        <v>180</v>
      </c>
      <c r="C188" s="66">
        <v>45936</v>
      </c>
      <c r="D188" s="80" t="s">
        <v>29</v>
      </c>
      <c r="E188" s="80" t="s">
        <v>26</v>
      </c>
      <c r="F188" s="14" t="s">
        <v>27</v>
      </c>
      <c r="G188" s="14">
        <v>221</v>
      </c>
      <c r="H188" s="14">
        <v>144</v>
      </c>
      <c r="I188" s="15">
        <v>1</v>
      </c>
      <c r="J188" s="23">
        <v>1</v>
      </c>
      <c r="K188" s="71">
        <f>(Table1[[#This Row],[unsub]]/Table1[[#This Row],[unique-sends]])*100</f>
        <v>0.45248868778280549</v>
      </c>
      <c r="L188" s="72">
        <f>Table1[[#This Row],[unique-opens]] / Table1[[#This Row],[unique-sends]] * 100</f>
        <v>65.158371040723978</v>
      </c>
      <c r="M188" s="73">
        <f>Table1[[#This Row],[unique-clicks]] / Table1[[#This Row],[unique-sends]] * 100</f>
        <v>0.45248868778280549</v>
      </c>
      <c r="N188" s="73">
        <f>Table1[[#This Row],[unique-clicks]] / Table1[[#This Row],[unique-opens]] * 100</f>
        <v>0.69444444444444442</v>
      </c>
      <c r="O188" s="73">
        <f>(MIN(Table1[[#This Row],[unique-opens]]/Table1[[#This Row],[unique-sends]],1)*50
 + MIN(Table1[[#This Row],[unique-clicks]]/Table1[[#This Row],[unique-sends]],1)*50)
 * (1 + MIN(Table1[[#This Row],[unique-clicks]]/Table1[[#This Row],[unique-sends]],1))
 - ((Table1[[#This Row],[unsub]]/Table1[[#This Row],[unique-sends]]*100)*2)</f>
        <v>32.04889334780205</v>
      </c>
      <c r="P188" s="11" t="str">
        <f>IF(Table1[[#This Row],[Engagement Score]]&lt;30,"🔴",IF(Table1[[#This Row],[Engagement Score]]&lt;40,"🟡","🟢"))</f>
        <v>🟡</v>
      </c>
      <c r="Q188" s="23">
        <v>0</v>
      </c>
      <c r="R188" s="23">
        <v>0</v>
      </c>
      <c r="S188" s="23">
        <v>0</v>
      </c>
      <c r="T188" s="29" t="s">
        <v>181</v>
      </c>
    </row>
    <row r="189" spans="1:20" ht="32.1" customHeight="1">
      <c r="A189" s="14">
        <v>31</v>
      </c>
      <c r="B189" s="21" t="s">
        <v>180</v>
      </c>
      <c r="C189" s="66">
        <v>45936</v>
      </c>
      <c r="D189" s="80" t="s">
        <v>21</v>
      </c>
      <c r="E189" s="80" t="s">
        <v>26</v>
      </c>
      <c r="F189" s="14" t="s">
        <v>27</v>
      </c>
      <c r="G189" s="16">
        <v>9656</v>
      </c>
      <c r="H189" s="14">
        <v>5855</v>
      </c>
      <c r="I189" s="15">
        <v>41</v>
      </c>
      <c r="J189" s="23">
        <v>2</v>
      </c>
      <c r="K189" s="71">
        <f>(Table1[[#This Row],[unsub]]/Table1[[#This Row],[unique-sends]])*100</f>
        <v>2.0712510356255178E-2</v>
      </c>
      <c r="L189" s="72">
        <f>Table1[[#This Row],[unique-opens]] / Table1[[#This Row],[unique-sends]] * 100</f>
        <v>60.635874067937031</v>
      </c>
      <c r="M189" s="73">
        <f>Table1[[#This Row],[unique-clicks]] / Table1[[#This Row],[unique-sends]] * 100</f>
        <v>0.42460646230323112</v>
      </c>
      <c r="N189" s="73">
        <f>Table1[[#This Row],[unique-clicks]] / Table1[[#This Row],[unique-opens]] * 100</f>
        <v>0.70025619128949623</v>
      </c>
      <c r="O189" s="73">
        <f>(MIN(Table1[[#This Row],[unique-opens]]/Table1[[#This Row],[unique-sends]],1)*50
 + MIN(Table1[[#This Row],[unique-clicks]]/Table1[[#This Row],[unique-sends]],1)*50)
 * (1 + MIN(Table1[[#This Row],[unique-clicks]]/Table1[[#This Row],[unique-sends]],1))
 - ((Table1[[#This Row],[unsub]]/Table1[[#This Row],[unique-sends]]*100)*2)</f>
        <v>30.618448617530024</v>
      </c>
      <c r="P189" s="11" t="str">
        <f>IF(Table1[[#This Row],[Engagement Score]]&lt;30,"🔴",IF(Table1[[#This Row],[Engagement Score]]&lt;40,"🟡","🟢"))</f>
        <v>🟡</v>
      </c>
      <c r="Q189" s="23">
        <v>67.599999999999994</v>
      </c>
      <c r="R189" s="23">
        <v>17.600000000000001</v>
      </c>
      <c r="S189" s="23">
        <v>14.7</v>
      </c>
      <c r="T189" s="29" t="s">
        <v>182</v>
      </c>
    </row>
    <row r="190" spans="1:20" ht="32.1" customHeight="1">
      <c r="A190" s="14">
        <v>82</v>
      </c>
      <c r="B190" s="21" t="s">
        <v>191</v>
      </c>
      <c r="C190" s="66">
        <v>45944</v>
      </c>
      <c r="D190" s="80" t="s">
        <v>29</v>
      </c>
      <c r="E190" s="80" t="s">
        <v>69</v>
      </c>
      <c r="F190" s="14" t="s">
        <v>27</v>
      </c>
      <c r="G190" s="14">
        <v>705</v>
      </c>
      <c r="H190" s="14">
        <v>459</v>
      </c>
      <c r="I190" s="15">
        <v>6</v>
      </c>
      <c r="J190" s="23">
        <v>8</v>
      </c>
      <c r="K190" s="71">
        <f>(Table1[[#This Row],[unsub]]/Table1[[#This Row],[unique-sends]])*100</f>
        <v>1.1347517730496455</v>
      </c>
      <c r="L190" s="72">
        <f>Table1[[#This Row],[unique-opens]] / Table1[[#This Row],[unique-sends]] * 100</f>
        <v>65.106382978723403</v>
      </c>
      <c r="M190" s="73">
        <f>Table1[[#This Row],[unique-clicks]] / Table1[[#This Row],[unique-sends]] * 100</f>
        <v>0.85106382978723405</v>
      </c>
      <c r="N190" s="73">
        <f>Table1[[#This Row],[unique-clicks]] / Table1[[#This Row],[unique-opens]] * 100</f>
        <v>1.3071895424836601</v>
      </c>
      <c r="O190" s="73">
        <f>(MIN(Table1[[#This Row],[unique-opens]]/Table1[[#This Row],[unique-sends]],1)*50
 + MIN(Table1[[#This Row],[unique-clicks]]/Table1[[#This Row],[unique-sends]],1)*50)
 * (1 + MIN(Table1[[#This Row],[unique-clicks]]/Table1[[#This Row],[unique-sends]],1))
 - ((Table1[[#This Row],[unsub]]/Table1[[#This Row],[unique-sends]]*100)*2)</f>
        <v>30.98988984457522</v>
      </c>
      <c r="P190" s="11" t="str">
        <f>IF(Table1[[#This Row],[Engagement Score]]&lt;30,"🔴",IF(Table1[[#This Row],[Engagement Score]]&lt;40,"🟡","🟢"))</f>
        <v>🟡</v>
      </c>
      <c r="Q190" s="23" t="s">
        <v>24</v>
      </c>
      <c r="R190" s="23" t="s">
        <v>24</v>
      </c>
      <c r="S190" s="23" t="s">
        <v>24</v>
      </c>
      <c r="T190" s="27" t="s">
        <v>24</v>
      </c>
    </row>
    <row r="191" spans="1:20" ht="32.1" customHeight="1">
      <c r="A191" s="14">
        <v>81</v>
      </c>
      <c r="B191" s="21" t="s">
        <v>191</v>
      </c>
      <c r="C191" s="66">
        <v>45944</v>
      </c>
      <c r="D191" s="80" t="s">
        <v>21</v>
      </c>
      <c r="E191" s="80" t="s">
        <v>69</v>
      </c>
      <c r="F191" s="14" t="s">
        <v>27</v>
      </c>
      <c r="G191" s="16">
        <v>16367</v>
      </c>
      <c r="H191" s="14">
        <v>10042</v>
      </c>
      <c r="I191" s="15">
        <v>92</v>
      </c>
      <c r="J191" s="23">
        <v>56</v>
      </c>
      <c r="K191" s="71">
        <f>(Table1[[#This Row],[unsub]]/Table1[[#This Row],[unique-sends]])*100</f>
        <v>0.34215189100018334</v>
      </c>
      <c r="L191" s="72">
        <f>Table1[[#This Row],[unique-opens]] / Table1[[#This Row],[unique-sends]] * 100</f>
        <v>61.355165882568585</v>
      </c>
      <c r="M191" s="73">
        <f>Table1[[#This Row],[unique-clicks]] / Table1[[#This Row],[unique-sends]] * 100</f>
        <v>0.56210667807172976</v>
      </c>
      <c r="N191" s="73">
        <f>Table1[[#This Row],[unique-clicks]] / Table1[[#This Row],[unique-opens]] * 100</f>
        <v>0.91615216092411877</v>
      </c>
      <c r="O191" s="73">
        <f>(MIN(Table1[[#This Row],[unique-opens]]/Table1[[#This Row],[unique-sends]],1)*50
 + MIN(Table1[[#This Row],[unique-clicks]]/Table1[[#This Row],[unique-sends]],1)*50)
 * (1 + MIN(Table1[[#This Row],[unique-clicks]]/Table1[[#This Row],[unique-sends]],1))
 - ((Table1[[#This Row],[unsub]]/Table1[[#This Row],[unique-sends]]*100)*2)</f>
        <v>30.448353060291407</v>
      </c>
      <c r="P191" s="11" t="str">
        <f>IF(Table1[[#This Row],[Engagement Score]]&lt;30,"🔴",IF(Table1[[#This Row],[Engagement Score]]&lt;40,"🟡","🟢"))</f>
        <v>🟡</v>
      </c>
      <c r="Q191" s="23"/>
      <c r="R191" s="23"/>
      <c r="S191" s="23"/>
      <c r="T191" s="26"/>
    </row>
    <row r="192" spans="1:20" ht="32.1" customHeight="1">
      <c r="A192" s="14">
        <v>83</v>
      </c>
      <c r="B192" s="22" t="s">
        <v>192</v>
      </c>
      <c r="C192" s="66">
        <v>45950</v>
      </c>
      <c r="D192" s="80" t="s">
        <v>21</v>
      </c>
      <c r="E192" s="80" t="s">
        <v>26</v>
      </c>
      <c r="F192" s="14" t="s">
        <v>27</v>
      </c>
      <c r="G192" s="16">
        <v>3231</v>
      </c>
      <c r="H192" s="14">
        <v>2212</v>
      </c>
      <c r="I192" s="15">
        <v>94</v>
      </c>
      <c r="J192" s="23">
        <v>2</v>
      </c>
      <c r="K192" s="71">
        <f>(Table1[[#This Row],[unsub]]/Table1[[#This Row],[unique-sends]])*100</f>
        <v>6.1900340451872482E-2</v>
      </c>
      <c r="L192" s="72">
        <f>Table1[[#This Row],[unique-opens]] / Table1[[#This Row],[unique-sends]] * 100</f>
        <v>68.461776539770966</v>
      </c>
      <c r="M192" s="73">
        <f>Table1[[#This Row],[unique-clicks]] / Table1[[#This Row],[unique-sends]] * 100</f>
        <v>2.909316001238007</v>
      </c>
      <c r="N192" s="73">
        <f>Table1[[#This Row],[unique-clicks]] / Table1[[#This Row],[unique-opens]] * 100</f>
        <v>4.2495479204339963</v>
      </c>
      <c r="O192" s="73">
        <f>(MIN(Table1[[#This Row],[unique-opens]]/Table1[[#This Row],[unique-sends]],1)*50
 + MIN(Table1[[#This Row],[unique-clicks]]/Table1[[#This Row],[unique-sends]],1)*50)
 * (1 + MIN(Table1[[#This Row],[unique-clicks]]/Table1[[#This Row],[unique-sends]],1))
 - ((Table1[[#This Row],[unsub]]/Table1[[#This Row],[unique-sends]]*100)*2)</f>
        <v>36.599950897377724</v>
      </c>
      <c r="P192" s="11" t="str">
        <f>IF(Table1[[#This Row],[Engagement Score]]&lt;30,"🔴",IF(Table1[[#This Row],[Engagement Score]]&lt;40,"🟡","🟢"))</f>
        <v>🟡</v>
      </c>
      <c r="Q192" s="23" t="s">
        <v>24</v>
      </c>
      <c r="R192" s="23" t="s">
        <v>24</v>
      </c>
      <c r="S192" s="23" t="s">
        <v>24</v>
      </c>
      <c r="T192" s="27" t="s">
        <v>24</v>
      </c>
    </row>
    <row r="193" spans="1:20" ht="32.1" customHeight="1">
      <c r="A193" s="14">
        <v>31</v>
      </c>
      <c r="B193" s="21" t="s">
        <v>193</v>
      </c>
      <c r="C193" s="66">
        <v>45950</v>
      </c>
      <c r="D193" s="80" t="s">
        <v>29</v>
      </c>
      <c r="E193" s="80" t="s">
        <v>26</v>
      </c>
      <c r="F193" s="14" t="s">
        <v>27</v>
      </c>
      <c r="G193" s="16">
        <v>1767</v>
      </c>
      <c r="H193" s="14">
        <v>2156</v>
      </c>
      <c r="I193" s="15">
        <v>240</v>
      </c>
      <c r="J193" s="23">
        <v>0</v>
      </c>
      <c r="K193" s="71">
        <f>(Table1[[#This Row],[unsub]]/Table1[[#This Row],[unique-sends]])*100</f>
        <v>0</v>
      </c>
      <c r="L193" s="72">
        <f>Table1[[#This Row],[unique-opens]] / Table1[[#This Row],[unique-sends]] * 100</f>
        <v>122.014714204867</v>
      </c>
      <c r="M193" s="73">
        <f>Table1[[#This Row],[unique-clicks]] / Table1[[#This Row],[unique-sends]] * 100</f>
        <v>13.582342954159593</v>
      </c>
      <c r="N193" s="73">
        <f>Table1[[#This Row],[unique-clicks]] / Table1[[#This Row],[unique-opens]] * 100</f>
        <v>11.131725417439704</v>
      </c>
      <c r="O193" s="73">
        <f>(MIN(Table1[[#This Row],[unique-opens]]/Table1[[#This Row],[unique-sends]],1)*50
 + MIN(Table1[[#This Row],[unique-clicks]]/Table1[[#This Row],[unique-sends]],1)*50)
 * (1 + MIN(Table1[[#This Row],[unique-clicks]]/Table1[[#This Row],[unique-sends]],1))
 - ((Table1[[#This Row],[unsub]]/Table1[[#This Row],[unique-sends]]*100)*2)</f>
        <v>64.504743154781636</v>
      </c>
      <c r="P193" s="11" t="str">
        <f>IF(Table1[[#This Row],[Engagement Score]]&lt;30,"🔴",IF(Table1[[#This Row],[Engagement Score]]&lt;40,"🟡","🟢"))</f>
        <v>🟢</v>
      </c>
      <c r="Q193" s="23"/>
      <c r="R193" s="23"/>
      <c r="S193" s="23"/>
      <c r="T193" s="26"/>
    </row>
    <row r="194" spans="1:20" ht="32.1" customHeight="1">
      <c r="A194" s="14">
        <v>31</v>
      </c>
      <c r="B194" s="21" t="s">
        <v>193</v>
      </c>
      <c r="C194" s="66">
        <v>45950</v>
      </c>
      <c r="D194" s="80" t="s">
        <v>21</v>
      </c>
      <c r="E194" s="80" t="s">
        <v>26</v>
      </c>
      <c r="F194" s="14" t="s">
        <v>27</v>
      </c>
      <c r="G194" s="16">
        <v>13022</v>
      </c>
      <c r="H194" s="14">
        <v>12394</v>
      </c>
      <c r="I194" s="15">
        <v>378</v>
      </c>
      <c r="J194" s="23">
        <v>8</v>
      </c>
      <c r="K194" s="71">
        <f>(Table1[[#This Row],[unsub]]/Table1[[#This Row],[unique-sends]])*100</f>
        <v>6.1434495469205964E-2</v>
      </c>
      <c r="L194" s="72">
        <f>Table1[[#This Row],[unique-opens]] / Table1[[#This Row],[unique-sends]] * 100</f>
        <v>95.177392105667337</v>
      </c>
      <c r="M194" s="73">
        <f>Table1[[#This Row],[unique-clicks]] / Table1[[#This Row],[unique-sends]] * 100</f>
        <v>2.9027799109199814</v>
      </c>
      <c r="N194" s="73">
        <f>Table1[[#This Row],[unique-clicks]] / Table1[[#This Row],[unique-opens]] * 100</f>
        <v>3.0498628368565437</v>
      </c>
      <c r="O194" s="73">
        <f>(MIN(Table1[[#This Row],[unique-opens]]/Table1[[#This Row],[unique-sends]],1)*50
 + MIN(Table1[[#This Row],[unique-clicks]]/Table1[[#This Row],[unique-sends]],1)*50)
 * (1 + MIN(Table1[[#This Row],[unique-clicks]]/Table1[[#This Row],[unique-sends]],1))
 - ((Table1[[#This Row],[unsub]]/Table1[[#This Row],[unique-sends]]*100)*2)</f>
        <v>50.340742782301874</v>
      </c>
      <c r="P194" s="11" t="str">
        <f>IF(Table1[[#This Row],[Engagement Score]]&lt;30,"🔴",IF(Table1[[#This Row],[Engagement Score]]&lt;40,"🟡","🟢"))</f>
        <v>🟢</v>
      </c>
      <c r="Q194" s="23"/>
      <c r="R194" s="23"/>
      <c r="S194" s="23"/>
      <c r="T194" s="26"/>
    </row>
    <row r="195" spans="1:20" ht="32.1" customHeight="1">
      <c r="A195" s="8">
        <v>31</v>
      </c>
      <c r="B195" s="13" t="s">
        <v>194</v>
      </c>
      <c r="C195" s="65">
        <v>45951</v>
      </c>
      <c r="D195" s="80" t="s">
        <v>29</v>
      </c>
      <c r="E195" s="80" t="s">
        <v>26</v>
      </c>
      <c r="F195" s="14" t="s">
        <v>27</v>
      </c>
      <c r="G195" s="8">
        <v>318</v>
      </c>
      <c r="H195" s="14">
        <v>243</v>
      </c>
      <c r="I195" s="15">
        <v>25</v>
      </c>
      <c r="J195" s="23">
        <v>0</v>
      </c>
      <c r="K195" s="71">
        <f>(Table1[[#This Row],[unsub]]/Table1[[#This Row],[unique-sends]])*100</f>
        <v>0</v>
      </c>
      <c r="L195" s="72">
        <f>Table1[[#This Row],[unique-opens]] / Table1[[#This Row],[unique-sends]] * 100</f>
        <v>76.415094339622641</v>
      </c>
      <c r="M195" s="73">
        <f>Table1[[#This Row],[unique-clicks]] / Table1[[#This Row],[unique-sends]] * 100</f>
        <v>7.8616352201257858</v>
      </c>
      <c r="N195" s="73">
        <f>Table1[[#This Row],[unique-clicks]] / Table1[[#This Row],[unique-opens]] * 100</f>
        <v>10.2880658436214</v>
      </c>
      <c r="O195" s="73">
        <f>(MIN(Table1[[#This Row],[unique-opens]]/Table1[[#This Row],[unique-sends]],1)*50
 + MIN(Table1[[#This Row],[unique-clicks]]/Table1[[#This Row],[unique-sends]],1)*50)
 * (1 + MIN(Table1[[#This Row],[unique-clicks]]/Table1[[#This Row],[unique-sends]],1))
 - ((Table1[[#This Row],[unsub]]/Table1[[#This Row],[unique-sends]]*100)*2)</f>
        <v>45.451129306593891</v>
      </c>
      <c r="P195" s="11" t="str">
        <f>IF(Table1[[#This Row],[Engagement Score]]&lt;30,"🔴",IF(Table1[[#This Row],[Engagement Score]]&lt;40,"🟡","🟢"))</f>
        <v>🟢</v>
      </c>
      <c r="Q195" s="23" t="s">
        <v>24</v>
      </c>
      <c r="R195" s="23" t="s">
        <v>24</v>
      </c>
      <c r="S195" s="23" t="s">
        <v>24</v>
      </c>
      <c r="T195" s="27" t="s">
        <v>24</v>
      </c>
    </row>
    <row r="196" spans="1:20" ht="32.1" customHeight="1">
      <c r="A196" s="8">
        <v>31</v>
      </c>
      <c r="B196" s="13" t="s">
        <v>194</v>
      </c>
      <c r="C196" s="65">
        <v>45951</v>
      </c>
      <c r="D196" s="80" t="s">
        <v>21</v>
      </c>
      <c r="E196" s="80" t="s">
        <v>26</v>
      </c>
      <c r="F196" s="14" t="s">
        <v>27</v>
      </c>
      <c r="G196" s="10">
        <v>9524</v>
      </c>
      <c r="H196" s="14">
        <v>5212</v>
      </c>
      <c r="I196" s="15">
        <v>198</v>
      </c>
      <c r="J196" s="23">
        <v>6</v>
      </c>
      <c r="K196" s="71">
        <f>(Table1[[#This Row],[unsub]]/Table1[[#This Row],[unique-sends]])*100</f>
        <v>6.2998740025199507E-2</v>
      </c>
      <c r="L196" s="72">
        <f>Table1[[#This Row],[unique-opens]] / Table1[[#This Row],[unique-sends]] * 100</f>
        <v>54.724905501889964</v>
      </c>
      <c r="M196" s="73">
        <f>Table1[[#This Row],[unique-clicks]] / Table1[[#This Row],[unique-sends]] * 100</f>
        <v>2.0789584208315834</v>
      </c>
      <c r="N196" s="73">
        <f>Table1[[#This Row],[unique-clicks]] / Table1[[#This Row],[unique-opens]] * 100</f>
        <v>3.7989255564082884</v>
      </c>
      <c r="O196" s="73">
        <f>(MIN(Table1[[#This Row],[unique-opens]]/Table1[[#This Row],[unique-sends]],1)*50
 + MIN(Table1[[#This Row],[unique-clicks]]/Table1[[#This Row],[unique-sends]],1)*50)
 * (1 + MIN(Table1[[#This Row],[unique-clicks]]/Table1[[#This Row],[unique-sends]],1))
 - ((Table1[[#This Row],[unsub]]/Table1[[#This Row],[unique-sends]]*100)*2)</f>
        <v>28.866398837499943</v>
      </c>
      <c r="P196" s="11" t="str">
        <f>IF(Table1[[#This Row],[Engagement Score]]&lt;30,"🔴",IF(Table1[[#This Row],[Engagement Score]]&lt;40,"🟡","🟢"))</f>
        <v>🔴</v>
      </c>
      <c r="Q196" s="23"/>
      <c r="R196" s="23"/>
      <c r="S196" s="23"/>
      <c r="T196" s="26"/>
    </row>
    <row r="197" spans="1:20" ht="32.1" customHeight="1">
      <c r="A197" s="8">
        <v>85</v>
      </c>
      <c r="B197" s="17" t="s">
        <v>195</v>
      </c>
      <c r="C197" s="67">
        <v>45953</v>
      </c>
      <c r="D197" s="79" t="s">
        <v>29</v>
      </c>
      <c r="E197" s="80" t="s">
        <v>22</v>
      </c>
      <c r="F197" s="14" t="s">
        <v>27</v>
      </c>
      <c r="G197" s="10">
        <v>10206</v>
      </c>
      <c r="H197" s="8">
        <v>7525</v>
      </c>
      <c r="I197" s="6">
        <v>711</v>
      </c>
      <c r="J197" s="8">
        <v>6</v>
      </c>
      <c r="K197" s="71">
        <f>(Table1[[#This Row],[unsub]]/Table1[[#This Row],[unique-sends]])*100</f>
        <v>5.8788947677836566E-2</v>
      </c>
      <c r="L197" s="72">
        <f>Table1[[#This Row],[unique-opens]] / Table1[[#This Row],[unique-sends]] * 100</f>
        <v>73.731138545953357</v>
      </c>
      <c r="M197" s="73">
        <f>Table1[[#This Row],[unique-clicks]] / Table1[[#This Row],[unique-sends]] * 100</f>
        <v>6.9664902998236329</v>
      </c>
      <c r="N197" s="73">
        <f>Table1[[#This Row],[unique-clicks]] / Table1[[#This Row],[unique-opens]] * 100</f>
        <v>9.4485049833887036</v>
      </c>
      <c r="O197" s="73">
        <f>(MIN(Table1[[#This Row],[unique-opens]]/Table1[[#This Row],[unique-sends]],1)*50
 + MIN(Table1[[#This Row],[unique-clicks]]/Table1[[#This Row],[unique-sends]],1)*50)
 * (1 + MIN(Table1[[#This Row],[unique-clicks]]/Table1[[#This Row],[unique-sends]],1))
 - ((Table1[[#This Row],[unsub]]/Table1[[#This Row],[unique-sends]]*100)*2)</f>
        <v>43.042132770397188</v>
      </c>
      <c r="P197" s="11" t="str">
        <f>IF(Table1[[#This Row],[Engagement Score]]&lt;30,"🔴",IF(Table1[[#This Row],[Engagement Score]]&lt;40,"🟡","🟢"))</f>
        <v>🟢</v>
      </c>
      <c r="Q197" s="8" t="s">
        <v>24</v>
      </c>
      <c r="R197" s="8" t="s">
        <v>24</v>
      </c>
      <c r="S197" s="8" t="s">
        <v>24</v>
      </c>
      <c r="T197" s="8" t="s">
        <v>24</v>
      </c>
    </row>
    <row r="198" spans="1:20" ht="32.1" customHeight="1">
      <c r="A198" s="8">
        <v>84</v>
      </c>
      <c r="B198" s="17" t="s">
        <v>196</v>
      </c>
      <c r="C198" s="67">
        <v>45953</v>
      </c>
      <c r="D198" s="80" t="s">
        <v>21</v>
      </c>
      <c r="E198" s="80" t="s">
        <v>22</v>
      </c>
      <c r="F198" s="14" t="s">
        <v>27</v>
      </c>
      <c r="G198" s="10">
        <v>45709</v>
      </c>
      <c r="H198" s="8">
        <v>21170</v>
      </c>
      <c r="I198" s="6">
        <v>477</v>
      </c>
      <c r="J198" s="8">
        <v>61</v>
      </c>
      <c r="K198" s="71">
        <f>(Table1[[#This Row],[unsub]]/Table1[[#This Row],[unique-sends]])*100</f>
        <v>0.1334529304950885</v>
      </c>
      <c r="L198" s="72">
        <f>Table1[[#This Row],[unique-opens]] / Table1[[#This Row],[unique-sends]] * 100</f>
        <v>46.314730140672516</v>
      </c>
      <c r="M198" s="73">
        <f>Table1[[#This Row],[unique-clicks]] / Table1[[#This Row],[unique-sends]] * 100</f>
        <v>1.0435581614124132</v>
      </c>
      <c r="N198" s="73">
        <f>Table1[[#This Row],[unique-clicks]] / Table1[[#This Row],[unique-opens]] * 100</f>
        <v>2.2531884742560226</v>
      </c>
      <c r="O198" s="73">
        <f>(MIN(Table1[[#This Row],[unique-opens]]/Table1[[#This Row],[unique-sends]],1)*50
 + MIN(Table1[[#This Row],[unique-clicks]]/Table1[[#This Row],[unique-sends]],1)*50)
 * (1 + MIN(Table1[[#This Row],[unique-clicks]]/Table1[[#This Row],[unique-sends]],1))
 - ((Table1[[#This Row],[unsub]]/Table1[[#This Row],[unique-sends]]*100)*2)</f>
        <v>23.659343931393099</v>
      </c>
      <c r="P198" s="11" t="str">
        <f>IF(Table1[[#This Row],[Engagement Score]]&lt;30,"🔴",IF(Table1[[#This Row],[Engagement Score]]&lt;40,"🟡","🟢"))</f>
        <v>🔴</v>
      </c>
      <c r="Q198" s="8" t="s">
        <v>24</v>
      </c>
      <c r="R198" s="8" t="s">
        <v>24</v>
      </c>
      <c r="S198" s="8" t="s">
        <v>24</v>
      </c>
      <c r="T198" s="8" t="s">
        <v>24</v>
      </c>
    </row>
    <row r="199" spans="1:20" ht="32.1" customHeight="1">
      <c r="A199" s="8">
        <v>84</v>
      </c>
      <c r="B199" s="17" t="s">
        <v>197</v>
      </c>
      <c r="C199" s="65">
        <v>45957</v>
      </c>
      <c r="D199" s="79" t="s">
        <v>21</v>
      </c>
      <c r="E199" s="79" t="s">
        <v>22</v>
      </c>
      <c r="F199" s="8" t="s">
        <v>27</v>
      </c>
      <c r="G199" s="10">
        <v>40906</v>
      </c>
      <c r="H199" s="8">
        <v>29830</v>
      </c>
      <c r="I199" s="6">
        <v>2259</v>
      </c>
      <c r="J199" s="8">
        <v>11</v>
      </c>
      <c r="K199" s="71">
        <f>(Table1[[#This Row],[unsub]]/Table1[[#This Row],[unique-sends]])*100</f>
        <v>2.68909206473378E-2</v>
      </c>
      <c r="L199" s="72">
        <f>Table1[[#This Row],[unique-opens]] / Table1[[#This Row],[unique-sends]] * 100</f>
        <v>72.923287537280586</v>
      </c>
      <c r="M199" s="73">
        <f>Table1[[#This Row],[unique-clicks]] / Table1[[#This Row],[unique-sends]] * 100</f>
        <v>5.5224172493032802</v>
      </c>
      <c r="N199" s="73">
        <f>Table1[[#This Row],[unique-clicks]] / Table1[[#This Row],[unique-opens]] * 100</f>
        <v>7.572913174656386</v>
      </c>
      <c r="O199" s="73">
        <f>(MIN(Table1[[#This Row],[unique-opens]]/Table1[[#This Row],[unique-sends]],1)*50
 + MIN(Table1[[#This Row],[unique-clicks]]/Table1[[#This Row],[unique-sends]],1)*50)
 * (1 + MIN(Table1[[#This Row],[unique-clicks]]/Table1[[#This Row],[unique-sends]],1))
 - ((Table1[[#This Row],[unsub]]/Table1[[#This Row],[unique-sends]]*100)*2)</f>
        <v>41.335120118233171</v>
      </c>
      <c r="P199" s="11" t="str">
        <f>IF(Table1[[#This Row],[Engagement Score]]&lt;30,"🔴",IF(Table1[[#This Row],[Engagement Score]]&lt;40,"🟡","🟢"))</f>
        <v>🟢</v>
      </c>
      <c r="Q199" s="8" t="s">
        <v>24</v>
      </c>
      <c r="R199" s="8" t="s">
        <v>24</v>
      </c>
      <c r="S199" s="8" t="s">
        <v>24</v>
      </c>
      <c r="T199" s="8" t="s">
        <v>24</v>
      </c>
    </row>
    <row r="200" spans="1:20" ht="32.1" customHeight="1">
      <c r="A200" s="8">
        <v>86</v>
      </c>
      <c r="B200" s="17" t="s">
        <v>198</v>
      </c>
      <c r="C200" s="65">
        <v>45954</v>
      </c>
      <c r="D200" s="79" t="s">
        <v>29</v>
      </c>
      <c r="E200" s="80" t="s">
        <v>22</v>
      </c>
      <c r="F200" s="8" t="s">
        <v>27</v>
      </c>
      <c r="G200" s="10">
        <v>49299</v>
      </c>
      <c r="H200" s="8">
        <v>55085</v>
      </c>
      <c r="I200" s="6">
        <v>1282</v>
      </c>
      <c r="J200" s="8">
        <v>87</v>
      </c>
      <c r="K200" s="71">
        <f>(Table1[[#This Row],[unsub]]/Table1[[#This Row],[unique-sends]])*100</f>
        <v>0.17647416783301895</v>
      </c>
      <c r="L200" s="72">
        <f>Table1[[#This Row],[unique-opens]] / Table1[[#This Row],[unique-sends]] * 100</f>
        <v>111.73654638025113</v>
      </c>
      <c r="M200" s="73">
        <f>Table1[[#This Row],[unique-clicks]] / Table1[[#This Row],[unique-sends]] * 100</f>
        <v>2.6004584271486237</v>
      </c>
      <c r="N200" s="73">
        <f>Table1[[#This Row],[unique-clicks]] / Table1[[#This Row],[unique-opens]] * 100</f>
        <v>2.3273123354815284</v>
      </c>
      <c r="O200" s="73">
        <f>(MIN(Table1[[#This Row],[unique-opens]]/Table1[[#This Row],[unique-sends]],1)*50
 + MIN(Table1[[#This Row],[unique-clicks]]/Table1[[#This Row],[unique-sends]],1)*50)
 * (1 + MIN(Table1[[#This Row],[unique-clicks]]/Table1[[#This Row],[unique-sends]],1))
 - ((Table1[[#This Row],[unsub]]/Table1[[#This Row],[unique-sends]]*100)*2)</f>
        <v>52.281322011639226</v>
      </c>
      <c r="P200" s="11" t="str">
        <f>IF(Table1[[#This Row],[Engagement Score]]&lt;30,"🔴",IF(Table1[[#This Row],[Engagement Score]]&lt;40,"🟡","🟢"))</f>
        <v>🟢</v>
      </c>
      <c r="Q200" s="8" t="s">
        <v>24</v>
      </c>
      <c r="R200" s="8" t="s">
        <v>24</v>
      </c>
      <c r="S200" s="8" t="s">
        <v>24</v>
      </c>
      <c r="T200" s="8" t="s">
        <v>24</v>
      </c>
    </row>
    <row r="201" spans="1:20" ht="32.1" customHeight="1">
      <c r="A201" s="8">
        <v>86</v>
      </c>
      <c r="B201" s="17" t="s">
        <v>199</v>
      </c>
      <c r="C201" s="65">
        <v>45954</v>
      </c>
      <c r="D201" s="79" t="s">
        <v>21</v>
      </c>
      <c r="E201" s="79" t="s">
        <v>22</v>
      </c>
      <c r="F201" s="8" t="s">
        <v>27</v>
      </c>
      <c r="G201" s="10">
        <v>761896</v>
      </c>
      <c r="H201" s="8">
        <v>622380</v>
      </c>
      <c r="I201" s="6">
        <v>10315</v>
      </c>
      <c r="J201" s="8">
        <v>882</v>
      </c>
      <c r="K201" s="71">
        <f>(Table1[[#This Row],[unsub]]/Table1[[#This Row],[unique-sends]])*100</f>
        <v>0.11576383128405977</v>
      </c>
      <c r="L201" s="72">
        <f>Table1[[#This Row],[unique-opens]] / Table1[[#This Row],[unique-sends]] * 100</f>
        <v>81.688314415615778</v>
      </c>
      <c r="M201" s="73">
        <f>Table1[[#This Row],[unique-clicks]] / Table1[[#This Row],[unique-sends]] * 100</f>
        <v>1.3538593193821729</v>
      </c>
      <c r="N201" s="73">
        <f>Table1[[#This Row],[unique-clicks]] / Table1[[#This Row],[unique-opens]] * 100</f>
        <v>1.6573476011439956</v>
      </c>
      <c r="O201" s="73">
        <f>(MIN(Table1[[#This Row],[unique-opens]]/Table1[[#This Row],[unique-sends]],1)*50
 + MIN(Table1[[#This Row],[unique-clicks]]/Table1[[#This Row],[unique-sends]],1)*50)
 * (1 + MIN(Table1[[#This Row],[unique-clicks]]/Table1[[#This Row],[unique-sends]],1))
 - ((Table1[[#This Row],[unsub]]/Table1[[#This Row],[unique-sends]]*100)*2)</f>
        <v>41.851696308995251</v>
      </c>
      <c r="P201" s="11" t="str">
        <f>IF(Table1[[#This Row],[Engagement Score]]&lt;30,"🔴",IF(Table1[[#This Row],[Engagement Score]]&lt;40,"🟡","🟢"))</f>
        <v>🟢</v>
      </c>
      <c r="Q201" s="8" t="s">
        <v>24</v>
      </c>
      <c r="R201" s="8" t="s">
        <v>24</v>
      </c>
      <c r="S201" s="8" t="s">
        <v>24</v>
      </c>
      <c r="T201" s="8" t="s">
        <v>24</v>
      </c>
    </row>
    <row r="202" spans="1:20" ht="32.1" customHeight="1">
      <c r="A202" s="14">
        <v>31</v>
      </c>
      <c r="B202" s="21" t="s">
        <v>200</v>
      </c>
      <c r="C202" s="66">
        <v>45958</v>
      </c>
      <c r="D202" s="80" t="s">
        <v>29</v>
      </c>
      <c r="E202" s="80" t="s">
        <v>26</v>
      </c>
      <c r="F202" s="14" t="s">
        <v>27</v>
      </c>
      <c r="G202" s="14">
        <v>983</v>
      </c>
      <c r="H202" s="14">
        <v>905</v>
      </c>
      <c r="I202" s="15">
        <v>71</v>
      </c>
      <c r="J202" s="8">
        <v>0</v>
      </c>
      <c r="K202" s="71">
        <f>(Table1[[#This Row],[unsub]]/Table1[[#This Row],[unique-sends]])*100</f>
        <v>0</v>
      </c>
      <c r="L202" s="72">
        <f>Table1[[#This Row],[unique-opens]] / Table1[[#This Row],[unique-sends]] * 100</f>
        <v>92.065106815869797</v>
      </c>
      <c r="M202" s="73">
        <f>Table1[[#This Row],[unique-clicks]] / Table1[[#This Row],[unique-sends]] * 100</f>
        <v>7.222787385554426</v>
      </c>
      <c r="N202" s="73">
        <f>Table1[[#This Row],[unique-clicks]] / Table1[[#This Row],[unique-opens]] * 100</f>
        <v>7.8453038674033149</v>
      </c>
      <c r="O202" s="73">
        <f>(MIN(Table1[[#This Row],[unique-opens]]/Table1[[#This Row],[unique-sends]],1)*50
 + MIN(Table1[[#This Row],[unique-clicks]]/Table1[[#This Row],[unique-sends]],1)*50)
 * (1 + MIN(Table1[[#This Row],[unique-clicks]]/Table1[[#This Row],[unique-sends]],1))
 - ((Table1[[#This Row],[unsub]]/Table1[[#This Row],[unique-sends]]*100)*2)</f>
        <v>53.229623849593658</v>
      </c>
      <c r="P202" s="11" t="str">
        <f>IF(Table1[[#This Row],[Engagement Score]]&lt;30,"🔴",IF(Table1[[#This Row],[Engagement Score]]&lt;40,"🟡","🟢"))</f>
        <v>🟢</v>
      </c>
      <c r="Q202" s="8" t="s">
        <v>24</v>
      </c>
      <c r="R202" s="8" t="s">
        <v>24</v>
      </c>
      <c r="S202" s="8" t="s">
        <v>24</v>
      </c>
      <c r="T202" s="8" t="s">
        <v>24</v>
      </c>
    </row>
    <row r="203" spans="1:20" ht="32.1" customHeight="1">
      <c r="A203" s="14">
        <v>31</v>
      </c>
      <c r="B203" s="21" t="s">
        <v>201</v>
      </c>
      <c r="C203" s="66">
        <v>45958</v>
      </c>
      <c r="D203" s="80" t="s">
        <v>21</v>
      </c>
      <c r="E203" s="80" t="s">
        <v>26</v>
      </c>
      <c r="F203" s="14" t="s">
        <v>27</v>
      </c>
      <c r="G203" s="16">
        <v>8914</v>
      </c>
      <c r="H203" s="14">
        <v>6314</v>
      </c>
      <c r="I203" s="15">
        <v>359</v>
      </c>
      <c r="J203" s="14">
        <v>6</v>
      </c>
      <c r="K203" s="71">
        <f>(Table1[[#This Row],[unsub]]/Table1[[#This Row],[unique-sends]])*100</f>
        <v>6.7309849674669062E-2</v>
      </c>
      <c r="L203" s="72">
        <f>Table1[[#This Row],[unique-opens]] / Table1[[#This Row],[unique-sends]] * 100</f>
        <v>70.832398474310082</v>
      </c>
      <c r="M203" s="73">
        <f>Table1[[#This Row],[unique-clicks]] / Table1[[#This Row],[unique-sends]] * 100</f>
        <v>4.0273726722010323</v>
      </c>
      <c r="N203" s="73">
        <f>Table1[[#This Row],[unique-clicks]] / Table1[[#This Row],[unique-opens]] * 100</f>
        <v>5.6857776369971491</v>
      </c>
      <c r="O203" s="73">
        <f>(MIN(Table1[[#This Row],[unique-opens]]/Table1[[#This Row],[unique-sends]],1)*50
 + MIN(Table1[[#This Row],[unique-clicks]]/Table1[[#This Row],[unique-sends]],1)*50)
 * (1 + MIN(Table1[[#This Row],[unique-clicks]]/Table1[[#This Row],[unique-sends]],1))
 - ((Table1[[#This Row],[unsub]]/Table1[[#This Row],[unique-sends]]*100)*2)</f>
        <v>38.802706856719638</v>
      </c>
      <c r="P203" s="11" t="str">
        <f>IF(Table1[[#This Row],[Engagement Score]]&lt;30,"🔴",IF(Table1[[#This Row],[Engagement Score]]&lt;40,"🟡","🟢"))</f>
        <v>🟡</v>
      </c>
      <c r="Q203" s="14" t="s">
        <v>24</v>
      </c>
      <c r="R203" s="14" t="s">
        <v>24</v>
      </c>
      <c r="S203" s="14" t="s">
        <v>24</v>
      </c>
      <c r="T203" s="14" t="s">
        <v>24</v>
      </c>
    </row>
    <row r="204" spans="1:20" ht="32.1" customHeight="1">
      <c r="A204" s="8">
        <v>31</v>
      </c>
      <c r="B204" s="17" t="s">
        <v>202</v>
      </c>
      <c r="C204" s="65">
        <v>45958</v>
      </c>
      <c r="D204" s="80" t="s">
        <v>29</v>
      </c>
      <c r="E204" s="80" t="s">
        <v>26</v>
      </c>
      <c r="F204" s="14" t="s">
        <v>27</v>
      </c>
      <c r="G204" s="8">
        <v>623</v>
      </c>
      <c r="H204" s="8">
        <v>208</v>
      </c>
      <c r="I204" s="6">
        <v>15</v>
      </c>
      <c r="J204" s="8">
        <v>0</v>
      </c>
      <c r="K204" s="71">
        <f>(Table1[[#This Row],[unsub]]/Table1[[#This Row],[unique-sends]])*100</f>
        <v>0</v>
      </c>
      <c r="L204" s="72">
        <f>Table1[[#This Row],[unique-opens]] / Table1[[#This Row],[unique-sends]] * 100</f>
        <v>33.386837881219904</v>
      </c>
      <c r="M204" s="73">
        <f>Table1[[#This Row],[unique-clicks]] / Table1[[#This Row],[unique-sends]] * 100</f>
        <v>2.4077046548956664</v>
      </c>
      <c r="N204" s="73">
        <f>Table1[[#This Row],[unique-clicks]] / Table1[[#This Row],[unique-opens]] * 100</f>
        <v>7.2115384615384608</v>
      </c>
      <c r="O204" s="73">
        <f>(MIN(Table1[[#This Row],[unique-opens]]/Table1[[#This Row],[unique-sends]],1)*50
 + MIN(Table1[[#This Row],[unique-clicks]]/Table1[[#This Row],[unique-sends]],1)*50)
 * (1 + MIN(Table1[[#This Row],[unique-clicks]]/Table1[[#This Row],[unique-sends]],1))
 - ((Table1[[#This Row],[unsub]]/Table1[[#This Row],[unique-sends]]*100)*2)</f>
        <v>18.328184701478115</v>
      </c>
      <c r="P204" s="11" t="str">
        <f>IF(Table1[[#This Row],[Engagement Score]]&lt;30,"🔴",IF(Table1[[#This Row],[Engagement Score]]&lt;40,"🟡","🟢"))</f>
        <v>🔴</v>
      </c>
      <c r="Q204" s="8" t="s">
        <v>24</v>
      </c>
      <c r="R204" s="8" t="s">
        <v>24</v>
      </c>
      <c r="S204" s="8" t="s">
        <v>24</v>
      </c>
      <c r="T204" s="8" t="s">
        <v>24</v>
      </c>
    </row>
    <row r="205" spans="1:20" ht="32.1" customHeight="1">
      <c r="A205" s="8">
        <v>31</v>
      </c>
      <c r="B205" s="17" t="s">
        <v>202</v>
      </c>
      <c r="C205" s="65">
        <v>45958</v>
      </c>
      <c r="D205" s="80" t="s">
        <v>21</v>
      </c>
      <c r="E205" s="80" t="s">
        <v>26</v>
      </c>
      <c r="F205" s="14" t="s">
        <v>27</v>
      </c>
      <c r="G205" s="10">
        <v>3214</v>
      </c>
      <c r="H205" s="8">
        <v>3399</v>
      </c>
      <c r="I205" s="6">
        <v>290</v>
      </c>
      <c r="J205" s="8">
        <v>1</v>
      </c>
      <c r="K205" s="71">
        <f>(Table1[[#This Row],[unsub]]/Table1[[#This Row],[unique-sends]])*100</f>
        <v>3.1113876789047916E-2</v>
      </c>
      <c r="L205" s="72">
        <f>Table1[[#This Row],[unique-opens]] / Table1[[#This Row],[unique-sends]] * 100</f>
        <v>105.75606720597386</v>
      </c>
      <c r="M205" s="73">
        <f>Table1[[#This Row],[unique-clicks]] / Table1[[#This Row],[unique-sends]] * 100</f>
        <v>9.023024268823896</v>
      </c>
      <c r="N205" s="73">
        <f>Table1[[#This Row],[unique-clicks]] / Table1[[#This Row],[unique-opens]] * 100</f>
        <v>8.5319211532803774</v>
      </c>
      <c r="O205" s="73">
        <f>(MIN(Table1[[#This Row],[unique-opens]]/Table1[[#This Row],[unique-sends]],1)*50
 + MIN(Table1[[#This Row],[unique-clicks]]/Table1[[#This Row],[unique-sends]],1)*50)
 * (1 + MIN(Table1[[#This Row],[unique-clicks]]/Table1[[#This Row],[unique-sends]],1))
 - ((Table1[[#This Row],[unsub]]/Table1[[#This Row],[unique-sends]]*100)*2)</f>
        <v>59.367871350024721</v>
      </c>
      <c r="P205" s="11" t="str">
        <f>IF(Table1[[#This Row],[Engagement Score]]&lt;30,"🔴",IF(Table1[[#This Row],[Engagement Score]]&lt;40,"🟡","🟢"))</f>
        <v>🟢</v>
      </c>
      <c r="Q205" s="8" t="s">
        <v>24</v>
      </c>
      <c r="R205" s="8" t="s">
        <v>24</v>
      </c>
      <c r="S205" s="8" t="s">
        <v>24</v>
      </c>
      <c r="T205" s="8" t="s">
        <v>24</v>
      </c>
    </row>
    <row r="206" spans="1:20" ht="32.1" customHeight="1">
      <c r="A206" s="8">
        <v>73</v>
      </c>
      <c r="B206" s="30" t="s">
        <v>203</v>
      </c>
      <c r="C206" s="68">
        <v>45937</v>
      </c>
      <c r="D206" s="81" t="s">
        <v>21</v>
      </c>
      <c r="E206" s="81" t="s">
        <v>69</v>
      </c>
      <c r="F206" s="31" t="s">
        <v>27</v>
      </c>
      <c r="G206" s="31">
        <v>83423</v>
      </c>
      <c r="H206" s="31">
        <v>54839</v>
      </c>
      <c r="I206" s="31">
        <v>16241</v>
      </c>
      <c r="J206" s="31">
        <v>127</v>
      </c>
      <c r="K206" s="71">
        <f>(Table1[[#This Row],[unsub]]/Table1[[#This Row],[unique-sends]])*100</f>
        <v>0.15223619385541157</v>
      </c>
      <c r="L206" s="72">
        <f>Table1[[#This Row],[unique-opens]] / Table1[[#This Row],[unique-sends]] * 100</f>
        <v>65.736067990841846</v>
      </c>
      <c r="M206" s="73">
        <f>Table1[[#This Row],[unique-clicks]] / Table1[[#This Row],[unique-sends]] * 100</f>
        <v>19.468252160675114</v>
      </c>
      <c r="N206" s="73">
        <f>Table1[[#This Row],[unique-clicks]] / Table1[[#This Row],[unique-opens]] * 100</f>
        <v>29.615784387023837</v>
      </c>
      <c r="O206" s="73">
        <f>(MIN(Table1[[#This Row],[unique-opens]]/Table1[[#This Row],[unique-sends]],1)*50
 + MIN(Table1[[#This Row],[unique-clicks]]/Table1[[#This Row],[unique-sends]],1)*50)
 * (1 + MIN(Table1[[#This Row],[unique-clicks]]/Table1[[#This Row],[unique-sends]],1))
 - ((Table1[[#This Row],[unsub]]/Table1[[#This Row],[unique-sends]]*100)*2)</f>
        <v>50.591583637490771</v>
      </c>
      <c r="P206" s="11" t="str">
        <f>IF(Table1[[#This Row],[Engagement Score]]&lt;30,"🔴",IF(Table1[[#This Row],[Engagement Score]]&lt;40,"🟡","🟢"))</f>
        <v>🟢</v>
      </c>
      <c r="Q206" s="8">
        <v>75.5</v>
      </c>
      <c r="R206" s="8">
        <v>16.100000000000001</v>
      </c>
      <c r="S206" s="8">
        <v>8.4</v>
      </c>
      <c r="T206" s="18" t="s">
        <v>204</v>
      </c>
    </row>
    <row r="207" spans="1:20" ht="32.1" customHeight="1">
      <c r="A207" s="14">
        <v>73</v>
      </c>
      <c r="B207" s="30" t="s">
        <v>205</v>
      </c>
      <c r="C207" s="68">
        <v>45937</v>
      </c>
      <c r="D207" s="81" t="s">
        <v>21</v>
      </c>
      <c r="E207" s="81" t="s">
        <v>69</v>
      </c>
      <c r="F207" s="31" t="s">
        <v>27</v>
      </c>
      <c r="G207" s="31">
        <v>82911</v>
      </c>
      <c r="H207" s="31">
        <v>54273</v>
      </c>
      <c r="I207" s="31">
        <v>15898</v>
      </c>
      <c r="J207" s="31">
        <v>131</v>
      </c>
      <c r="K207" s="71">
        <f>(Table1[[#This Row],[unsub]]/Table1[[#This Row],[unique-sends]])*100</f>
        <v>0.1580007477897987</v>
      </c>
      <c r="L207" s="72">
        <f>Table1[[#This Row],[unique-opens]] / Table1[[#This Row],[unique-sends]] * 100</f>
        <v>65.459347975540041</v>
      </c>
      <c r="M207" s="73">
        <f>Table1[[#This Row],[unique-clicks]] / Table1[[#This Row],[unique-sends]] * 100</f>
        <v>19.174777773757405</v>
      </c>
      <c r="N207" s="73">
        <f>Table1[[#This Row],[unique-clicks]] / Table1[[#This Row],[unique-opens]] * 100</f>
        <v>29.292650120686158</v>
      </c>
      <c r="O207" s="73">
        <f>(MIN(Table1[[#This Row],[unique-opens]]/Table1[[#This Row],[unique-sends]],1)*50
 + MIN(Table1[[#This Row],[unique-clicks]]/Table1[[#This Row],[unique-sends]],1)*50)
 * (1 + MIN(Table1[[#This Row],[unique-clicks]]/Table1[[#This Row],[unique-sends]],1))
 - ((Table1[[#This Row],[unsub]]/Table1[[#This Row],[unique-sends]]*100)*2)</f>
        <v>50.11526414566422</v>
      </c>
      <c r="P207" s="11" t="str">
        <f>IF(Table1[[#This Row],[Engagement Score]]&lt;30,"🔴",IF(Table1[[#This Row],[Engagement Score]]&lt;40,"🟡","🟢"))</f>
        <v>🟢</v>
      </c>
      <c r="Q207" s="8">
        <v>75.5</v>
      </c>
      <c r="R207" s="8">
        <v>16.100000000000001</v>
      </c>
      <c r="S207" s="8">
        <v>8.4</v>
      </c>
      <c r="T207" s="18" t="s">
        <v>204</v>
      </c>
    </row>
    <row r="208" spans="1:20" ht="32.1" customHeight="1">
      <c r="A208" s="8">
        <v>73</v>
      </c>
      <c r="B208" s="30" t="s">
        <v>206</v>
      </c>
      <c r="C208" s="68">
        <v>45937</v>
      </c>
      <c r="D208" s="81" t="s">
        <v>21</v>
      </c>
      <c r="E208" s="81" t="s">
        <v>69</v>
      </c>
      <c r="F208" s="31" t="s">
        <v>27</v>
      </c>
      <c r="G208" s="31">
        <v>81948</v>
      </c>
      <c r="H208" s="31">
        <v>55584</v>
      </c>
      <c r="I208" s="31">
        <v>19286</v>
      </c>
      <c r="J208" s="31">
        <v>106</v>
      </c>
      <c r="K208" s="71">
        <f>(Table1[[#This Row],[unsub]]/Table1[[#This Row],[unique-sends]])*100</f>
        <v>0.12935031971494118</v>
      </c>
      <c r="L208" s="72">
        <f>Table1[[#This Row],[unique-opens]] / Table1[[#This Row],[unique-sends]] * 100</f>
        <v>67.828378972031047</v>
      </c>
      <c r="M208" s="73">
        <f>Table1[[#This Row],[unique-clicks]] / Table1[[#This Row],[unique-sends]] * 100</f>
        <v>23.534436471909014</v>
      </c>
      <c r="N208" s="73">
        <f>Table1[[#This Row],[unique-clicks]] / Table1[[#This Row],[unique-opens]] * 100</f>
        <v>34.697035118019578</v>
      </c>
      <c r="O208" s="73">
        <f>(MIN(Table1[[#This Row],[unique-opens]]/Table1[[#This Row],[unique-sends]],1)*50
 + MIN(Table1[[#This Row],[unique-clicks]]/Table1[[#This Row],[unique-sends]],1)*50)
 * (1 + MIN(Table1[[#This Row],[unique-clicks]]/Table1[[#This Row],[unique-sends]],1))
 - ((Table1[[#This Row],[unsub]]/Table1[[#This Row],[unique-sends]]*100)*2)</f>
        <v>56.173568962340923</v>
      </c>
      <c r="P208" s="11" t="str">
        <f>IF(Table1[[#This Row],[Engagement Score]]&lt;30,"🔴",IF(Table1[[#This Row],[Engagement Score]]&lt;40,"🟡","🟢"))</f>
        <v>🟢</v>
      </c>
      <c r="Q208" s="8">
        <v>75.5</v>
      </c>
      <c r="R208" s="8">
        <v>16.100000000000001</v>
      </c>
      <c r="S208" s="8">
        <v>8.4</v>
      </c>
      <c r="T208" s="18" t="s">
        <v>204</v>
      </c>
    </row>
    <row r="209" spans="1:20" ht="32.1" customHeight="1">
      <c r="A209" s="8">
        <v>73</v>
      </c>
      <c r="B209" s="30" t="s">
        <v>207</v>
      </c>
      <c r="C209" s="68">
        <v>45937</v>
      </c>
      <c r="D209" s="81" t="s">
        <v>21</v>
      </c>
      <c r="E209" s="81" t="s">
        <v>69</v>
      </c>
      <c r="F209" s="31" t="s">
        <v>27</v>
      </c>
      <c r="G209" s="31">
        <v>80916</v>
      </c>
      <c r="H209" s="31">
        <v>56272</v>
      </c>
      <c r="I209" s="31">
        <v>17912</v>
      </c>
      <c r="J209" s="31">
        <v>80</v>
      </c>
      <c r="K209" s="71">
        <f>(Table1[[#This Row],[unsub]]/Table1[[#This Row],[unique-sends]])*100</f>
        <v>9.8867961836966722E-2</v>
      </c>
      <c r="L209" s="72">
        <f>Table1[[#This Row],[unique-opens]] / Table1[[#This Row],[unique-sends]] * 100</f>
        <v>69.543724356122397</v>
      </c>
      <c r="M209" s="73">
        <f>Table1[[#This Row],[unique-clicks]] / Table1[[#This Row],[unique-sends]] * 100</f>
        <v>22.136536655296851</v>
      </c>
      <c r="N209" s="73">
        <f>Table1[[#This Row],[unique-clicks]] / Table1[[#This Row],[unique-opens]] * 100</f>
        <v>31.83110605629798</v>
      </c>
      <c r="O209" s="73">
        <f>(MIN(Table1[[#This Row],[unique-opens]]/Table1[[#This Row],[unique-sends]],1)*50
 + MIN(Table1[[#This Row],[unique-clicks]]/Table1[[#This Row],[unique-sends]],1)*50)
 * (1 + MIN(Table1[[#This Row],[unique-clicks]]/Table1[[#This Row],[unique-sends]],1))
 - ((Table1[[#This Row],[unsub]]/Table1[[#This Row],[unique-sends]]*100)*2)</f>
        <v>55.789811874268011</v>
      </c>
      <c r="P209" s="11" t="str">
        <f>IF(Table1[[#This Row],[Engagement Score]]&lt;30,"🔴",IF(Table1[[#This Row],[Engagement Score]]&lt;40,"🟡","🟢"))</f>
        <v>🟢</v>
      </c>
      <c r="Q209" s="8">
        <v>75.5</v>
      </c>
      <c r="R209" s="8">
        <v>16.100000000000001</v>
      </c>
      <c r="S209" s="8">
        <v>8.4</v>
      </c>
      <c r="T209" s="18" t="s">
        <v>204</v>
      </c>
    </row>
    <row r="210" spans="1:20" ht="32.1" customHeight="1">
      <c r="A210" s="8">
        <v>73</v>
      </c>
      <c r="B210" s="30" t="s">
        <v>208</v>
      </c>
      <c r="C210" s="68">
        <v>45937</v>
      </c>
      <c r="D210" s="81" t="s">
        <v>21</v>
      </c>
      <c r="E210" s="81" t="s">
        <v>69</v>
      </c>
      <c r="F210" s="31" t="s">
        <v>27</v>
      </c>
      <c r="G210" s="31">
        <v>80079</v>
      </c>
      <c r="H210" s="31">
        <v>51285</v>
      </c>
      <c r="I210" s="31">
        <v>10591</v>
      </c>
      <c r="J210" s="31">
        <v>103</v>
      </c>
      <c r="K210" s="71">
        <f>(Table1[[#This Row],[unsub]]/Table1[[#This Row],[unique-sends]])*100</f>
        <v>0.1286229848025075</v>
      </c>
      <c r="L210" s="72">
        <f>Table1[[#This Row],[unique-opens]] / Table1[[#This Row],[unique-sends]] * 100</f>
        <v>64.043007530064074</v>
      </c>
      <c r="M210" s="73">
        <f>Table1[[#This Row],[unique-clicks]] / Table1[[#This Row],[unique-sends]] * 100</f>
        <v>13.225689631488905</v>
      </c>
      <c r="N210" s="73">
        <f>Table1[[#This Row],[unique-clicks]] / Table1[[#This Row],[unique-opens]] * 100</f>
        <v>20.651262552403239</v>
      </c>
      <c r="O210" s="73">
        <f>(MIN(Table1[[#This Row],[unique-opens]]/Table1[[#This Row],[unique-sends]],1)*50
 + MIN(Table1[[#This Row],[unique-clicks]]/Table1[[#This Row],[unique-sends]],1)*50)
 * (1 + MIN(Table1[[#This Row],[unique-clicks]]/Table1[[#This Row],[unique-sends]],1))
 - ((Table1[[#This Row],[unsub]]/Table1[[#This Row],[unique-sends]]*100)*2)</f>
        <v>43.486761645612511</v>
      </c>
      <c r="P210" s="11" t="str">
        <f>IF(Table1[[#This Row],[Engagement Score]]&lt;30,"🔴",IF(Table1[[#This Row],[Engagement Score]]&lt;40,"🟡","🟢"))</f>
        <v>🟢</v>
      </c>
      <c r="Q210" s="8">
        <v>75.5</v>
      </c>
      <c r="R210" s="8">
        <v>16.100000000000001</v>
      </c>
      <c r="S210" s="8">
        <v>8.4</v>
      </c>
      <c r="T210" s="18" t="s">
        <v>204</v>
      </c>
    </row>
    <row r="211" spans="1:20" ht="32.1" customHeight="1">
      <c r="A211" s="8">
        <v>73</v>
      </c>
      <c r="B211" s="30" t="s">
        <v>209</v>
      </c>
      <c r="C211" s="68">
        <v>45937</v>
      </c>
      <c r="D211" s="81" t="s">
        <v>21</v>
      </c>
      <c r="E211" s="81" t="s">
        <v>69</v>
      </c>
      <c r="F211" s="31" t="s">
        <v>27</v>
      </c>
      <c r="G211" s="31">
        <v>41097</v>
      </c>
      <c r="H211" s="31">
        <v>22257</v>
      </c>
      <c r="I211" s="31">
        <v>8566</v>
      </c>
      <c r="J211" s="31">
        <v>0</v>
      </c>
      <c r="K211" s="71">
        <f>(Table1[[#This Row],[unsub]]/Table1[[#This Row],[unique-sends]])*100</f>
        <v>0</v>
      </c>
      <c r="L211" s="72">
        <f>Table1[[#This Row],[unique-opens]] / Table1[[#This Row],[unique-sends]] * 100</f>
        <v>54.157237754580621</v>
      </c>
      <c r="M211" s="73">
        <f>Table1[[#This Row],[unique-clicks]] / Table1[[#This Row],[unique-sends]] * 100</f>
        <v>20.84337056232815</v>
      </c>
      <c r="N211" s="73">
        <f>Table1[[#This Row],[unique-clicks]] / Table1[[#This Row],[unique-opens]] * 100</f>
        <v>38.486768207754864</v>
      </c>
      <c r="O211" s="73">
        <f>(MIN(Table1[[#This Row],[unique-opens]]/Table1[[#This Row],[unique-sends]],1)*50
 + MIN(Table1[[#This Row],[unique-clicks]]/Table1[[#This Row],[unique-sends]],1)*50)
 * (1 + MIN(Table1[[#This Row],[unique-clicks]]/Table1[[#This Row],[unique-sends]],1))
 - ((Table1[[#This Row],[unsub]]/Table1[[#This Row],[unique-sends]]*100)*2)</f>
        <v>45.316631516201184</v>
      </c>
      <c r="P211" s="11" t="str">
        <f>IF(Table1[[#This Row],[Engagement Score]]&lt;30,"🔴",IF(Table1[[#This Row],[Engagement Score]]&lt;40,"🟡","🟢"))</f>
        <v>🟢</v>
      </c>
      <c r="Q211" s="8">
        <v>75.5</v>
      </c>
      <c r="R211" s="8">
        <v>16.100000000000001</v>
      </c>
      <c r="S211" s="8">
        <v>8.4</v>
      </c>
      <c r="T211" s="18" t="s">
        <v>204</v>
      </c>
    </row>
    <row r="212" spans="1:20" ht="32.1" customHeight="1">
      <c r="A212" s="8">
        <v>73</v>
      </c>
      <c r="B212" s="30" t="s">
        <v>210</v>
      </c>
      <c r="C212" s="68">
        <v>46302</v>
      </c>
      <c r="D212" s="81" t="s">
        <v>21</v>
      </c>
      <c r="E212" s="81" t="s">
        <v>69</v>
      </c>
      <c r="F212" s="31" t="s">
        <v>27</v>
      </c>
      <c r="G212" s="31">
        <v>39958</v>
      </c>
      <c r="H212" s="31">
        <v>17124</v>
      </c>
      <c r="I212" s="31">
        <v>3736</v>
      </c>
      <c r="J212" s="31">
        <v>0</v>
      </c>
      <c r="K212" s="71">
        <f>(Table1[[#This Row],[unsub]]/Table1[[#This Row],[unique-sends]])*100</f>
        <v>0</v>
      </c>
      <c r="L212" s="72">
        <f>Table1[[#This Row],[unique-opens]] / Table1[[#This Row],[unique-sends]] * 100</f>
        <v>42.854997747635018</v>
      </c>
      <c r="M212" s="73">
        <f>Table1[[#This Row],[unique-clicks]] / Table1[[#This Row],[unique-sends]] * 100</f>
        <v>9.3498173081735825</v>
      </c>
      <c r="N212" s="73">
        <f>Table1[[#This Row],[unique-clicks]] / Table1[[#This Row],[unique-opens]] * 100</f>
        <v>21.817332398972201</v>
      </c>
      <c r="O212" s="73">
        <f>(MIN(Table1[[#This Row],[unique-opens]]/Table1[[#This Row],[unique-sends]],1)*50
 + MIN(Table1[[#This Row],[unique-clicks]]/Table1[[#This Row],[unique-sends]],1)*50)
 * (1 + MIN(Table1[[#This Row],[unique-clicks]]/Table1[[#This Row],[unique-sends]],1))
 - ((Table1[[#This Row],[unsub]]/Table1[[#This Row],[unique-sends]]*100)*2)</f>
        <v>28.542934944798304</v>
      </c>
      <c r="P212" s="11" t="str">
        <f>IF(Table1[[#This Row],[Engagement Score]]&lt;30,"🔴",IF(Table1[[#This Row],[Engagement Score]]&lt;40,"🟡","🟢"))</f>
        <v>🔴</v>
      </c>
      <c r="Q212" s="8">
        <v>75.5</v>
      </c>
      <c r="R212" s="8">
        <v>16.100000000000001</v>
      </c>
      <c r="S212" s="8">
        <v>8.4</v>
      </c>
      <c r="T212" s="18" t="s">
        <v>204</v>
      </c>
    </row>
    <row r="213" spans="1:20" ht="32.1" customHeight="1">
      <c r="A213" s="8">
        <v>73</v>
      </c>
      <c r="B213" s="30" t="s">
        <v>211</v>
      </c>
      <c r="C213" s="68">
        <v>45937</v>
      </c>
      <c r="D213" s="81" t="s">
        <v>21</v>
      </c>
      <c r="E213" s="81" t="s">
        <v>69</v>
      </c>
      <c r="F213" s="31" t="s">
        <v>27</v>
      </c>
      <c r="G213" s="31">
        <v>39945</v>
      </c>
      <c r="H213" s="31">
        <v>19716</v>
      </c>
      <c r="I213" s="31">
        <v>6747</v>
      </c>
      <c r="J213" s="31">
        <v>0</v>
      </c>
      <c r="K213" s="71">
        <f>(Table1[[#This Row],[unsub]]/Table1[[#This Row],[unique-sends]])*100</f>
        <v>0</v>
      </c>
      <c r="L213" s="72">
        <f>Table1[[#This Row],[unique-opens]] / Table1[[#This Row],[unique-sends]] * 100</f>
        <v>49.357867067217427</v>
      </c>
      <c r="M213" s="73">
        <f>Table1[[#This Row],[unique-clicks]] / Table1[[#This Row],[unique-sends]] * 100</f>
        <v>16.890724746526473</v>
      </c>
      <c r="N213" s="73">
        <f>Table1[[#This Row],[unique-clicks]] / Table1[[#This Row],[unique-opens]] * 100</f>
        <v>34.220937309799147</v>
      </c>
      <c r="O213" s="73">
        <f>(MIN(Table1[[#This Row],[unique-opens]]/Table1[[#This Row],[unique-sends]],1)*50
 + MIN(Table1[[#This Row],[unique-clicks]]/Table1[[#This Row],[unique-sends]],1)*50)
 * (1 + MIN(Table1[[#This Row],[unique-clicks]]/Table1[[#This Row],[unique-sends]],1))
 - ((Table1[[#This Row],[unsub]]/Table1[[#This Row],[unique-sends]]*100)*2)</f>
        <v>38.719229552726624</v>
      </c>
      <c r="P213" s="11" t="str">
        <f>IF(Table1[[#This Row],[Engagement Score]]&lt;30,"🔴",IF(Table1[[#This Row],[Engagement Score]]&lt;40,"🟡","🟢"))</f>
        <v>🟡</v>
      </c>
      <c r="Q213" s="8">
        <v>75.5</v>
      </c>
      <c r="R213" s="8">
        <v>16.100000000000001</v>
      </c>
      <c r="S213" s="8">
        <v>8.4</v>
      </c>
      <c r="T213" s="18" t="s">
        <v>204</v>
      </c>
    </row>
    <row r="214" spans="1:20" ht="32.1" customHeight="1">
      <c r="A214" s="8">
        <v>73</v>
      </c>
      <c r="B214" s="30" t="s">
        <v>212</v>
      </c>
      <c r="C214" s="68">
        <v>45937</v>
      </c>
      <c r="D214" s="81" t="s">
        <v>21</v>
      </c>
      <c r="E214" s="81" t="s">
        <v>69</v>
      </c>
      <c r="F214" s="31" t="s">
        <v>27</v>
      </c>
      <c r="G214" s="31">
        <v>30177</v>
      </c>
      <c r="H214" s="31">
        <v>13936</v>
      </c>
      <c r="I214" s="31">
        <v>4957</v>
      </c>
      <c r="J214" s="31">
        <v>0</v>
      </c>
      <c r="K214" s="71">
        <f>(Table1[[#This Row],[unsub]]/Table1[[#This Row],[unique-sends]])*100</f>
        <v>0</v>
      </c>
      <c r="L214" s="72">
        <f>Table1[[#This Row],[unique-opens]] / Table1[[#This Row],[unique-sends]] * 100</f>
        <v>46.180866222619876</v>
      </c>
      <c r="M214" s="73">
        <f>Table1[[#This Row],[unique-clicks]] / Table1[[#This Row],[unique-sends]] * 100</f>
        <v>16.426417470258805</v>
      </c>
      <c r="N214" s="73">
        <f>Table1[[#This Row],[unique-clicks]] / Table1[[#This Row],[unique-opens]] * 100</f>
        <v>35.56974741676234</v>
      </c>
      <c r="O214" s="73">
        <f>(MIN(Table1[[#This Row],[unique-opens]]/Table1[[#This Row],[unique-sends]],1)*50
 + MIN(Table1[[#This Row],[unique-clicks]]/Table1[[#This Row],[unique-sends]],1)*50)
 * (1 + MIN(Table1[[#This Row],[unique-clicks]]/Table1[[#This Row],[unique-sends]],1))
 - ((Table1[[#This Row],[unsub]]/Table1[[#This Row],[unique-sends]]*100)*2)</f>
        <v>36.445708739530104</v>
      </c>
      <c r="P214" s="11" t="str">
        <f>IF(Table1[[#This Row],[Engagement Score]]&lt;30,"🔴",IF(Table1[[#This Row],[Engagement Score]]&lt;40,"🟡","🟢"))</f>
        <v>🟡</v>
      </c>
      <c r="Q214" s="8">
        <v>75.5</v>
      </c>
      <c r="R214" s="8">
        <v>16.100000000000001</v>
      </c>
      <c r="S214" s="8">
        <v>8.4</v>
      </c>
      <c r="T214" s="18" t="s">
        <v>204</v>
      </c>
    </row>
    <row r="215" spans="1:20" ht="32.1" customHeight="1">
      <c r="A215" s="8">
        <v>73</v>
      </c>
      <c r="B215" s="30" t="s">
        <v>213</v>
      </c>
      <c r="C215" s="68">
        <v>45937</v>
      </c>
      <c r="D215" s="81" t="s">
        <v>21</v>
      </c>
      <c r="E215" s="81" t="s">
        <v>69</v>
      </c>
      <c r="F215" s="31" t="s">
        <v>27</v>
      </c>
      <c r="G215" s="31">
        <v>30122</v>
      </c>
      <c r="H215" s="31">
        <v>13708</v>
      </c>
      <c r="I215" s="31">
        <v>4682</v>
      </c>
      <c r="J215" s="31">
        <v>0</v>
      </c>
      <c r="K215" s="71">
        <f>(Table1[[#This Row],[unsub]]/Table1[[#This Row],[unique-sends]])*100</f>
        <v>0</v>
      </c>
      <c r="L215" s="72">
        <f>Table1[[#This Row],[unique-opens]] / Table1[[#This Row],[unique-sends]] * 100</f>
        <v>45.508266383374277</v>
      </c>
      <c r="M215" s="73">
        <f>Table1[[#This Row],[unique-clicks]] / Table1[[#This Row],[unique-sends]] * 100</f>
        <v>15.543456609786865</v>
      </c>
      <c r="N215" s="73">
        <f>Table1[[#This Row],[unique-clicks]] / Table1[[#This Row],[unique-opens]] * 100</f>
        <v>34.155237817332946</v>
      </c>
      <c r="O215" s="73">
        <f>(MIN(Table1[[#This Row],[unique-opens]]/Table1[[#This Row],[unique-sends]],1)*50
 + MIN(Table1[[#This Row],[unique-clicks]]/Table1[[#This Row],[unique-sends]],1)*50)
 * (1 + MIN(Table1[[#This Row],[unique-clicks]]/Table1[[#This Row],[unique-sends]],1))
 - ((Table1[[#This Row],[unsub]]/Table1[[#This Row],[unique-sends]]*100)*2)</f>
        <v>35.27063553306521</v>
      </c>
      <c r="P215" s="11" t="str">
        <f>IF(Table1[[#This Row],[Engagement Score]]&lt;30,"🔴",IF(Table1[[#This Row],[Engagement Score]]&lt;40,"🟡","🟢"))</f>
        <v>🟡</v>
      </c>
      <c r="Q215" s="8">
        <v>75.5</v>
      </c>
      <c r="R215" s="8">
        <v>16.100000000000001</v>
      </c>
      <c r="S215" s="8">
        <v>8.4</v>
      </c>
      <c r="T215" s="18" t="s">
        <v>204</v>
      </c>
    </row>
    <row r="216" spans="1:20" ht="32.1" customHeight="1">
      <c r="A216" s="14">
        <v>76</v>
      </c>
      <c r="B216" s="30" t="s">
        <v>214</v>
      </c>
      <c r="C216" s="68">
        <v>45937</v>
      </c>
      <c r="D216" s="81" t="s">
        <v>29</v>
      </c>
      <c r="E216" s="81" t="s">
        <v>69</v>
      </c>
      <c r="F216" s="31" t="s">
        <v>27</v>
      </c>
      <c r="G216" s="31">
        <v>20040</v>
      </c>
      <c r="H216" s="31">
        <v>15201</v>
      </c>
      <c r="I216" s="31">
        <v>6170</v>
      </c>
      <c r="J216" s="31">
        <v>17</v>
      </c>
      <c r="K216" s="71">
        <f>(Table1[[#This Row],[unsub]]/Table1[[#This Row],[unique-sends]])*100</f>
        <v>8.4830339321357279E-2</v>
      </c>
      <c r="L216" s="72">
        <f>Table1[[#This Row],[unique-opens]] / Table1[[#This Row],[unique-sends]] * 100</f>
        <v>75.853293413173645</v>
      </c>
      <c r="M216" s="73">
        <f>Table1[[#This Row],[unique-clicks]] / Table1[[#This Row],[unique-sends]] * 100</f>
        <v>30.788423153692612</v>
      </c>
      <c r="N216" s="73">
        <f>Table1[[#This Row],[unique-clicks]] / Table1[[#This Row],[unique-opens]] * 100</f>
        <v>40.589434905598317</v>
      </c>
      <c r="O216" s="73">
        <f>(MIN(Table1[[#This Row],[unique-opens]]/Table1[[#This Row],[unique-sends]],1)*50
 + MIN(Table1[[#This Row],[unique-clicks]]/Table1[[#This Row],[unique-sends]],1)*50)
 * (1 + MIN(Table1[[#This Row],[unique-clicks]]/Table1[[#This Row],[unique-sends]],1))
 - ((Table1[[#This Row],[unsub]]/Table1[[#This Row],[unique-sends]]*100)*2)</f>
        <v>69.567849082274563</v>
      </c>
      <c r="P216" s="11" t="str">
        <f>IF(Table1[[#This Row],[Engagement Score]]&lt;30,"🔴",IF(Table1[[#This Row],[Engagement Score]]&lt;40,"🟡","🟢"))</f>
        <v>🟢</v>
      </c>
      <c r="Q216" s="14">
        <v>72.099999999999994</v>
      </c>
      <c r="R216" s="14">
        <v>15.6</v>
      </c>
      <c r="S216" s="14">
        <v>12.3</v>
      </c>
      <c r="T216" s="20" t="s">
        <v>215</v>
      </c>
    </row>
    <row r="217" spans="1:20" ht="32.1" customHeight="1">
      <c r="A217" s="14">
        <v>76</v>
      </c>
      <c r="B217" s="30" t="s">
        <v>216</v>
      </c>
      <c r="C217" s="68">
        <v>45937</v>
      </c>
      <c r="D217" s="81" t="s">
        <v>29</v>
      </c>
      <c r="E217" s="81" t="s">
        <v>69</v>
      </c>
      <c r="F217" s="31" t="s">
        <v>27</v>
      </c>
      <c r="G217" s="31">
        <v>15952</v>
      </c>
      <c r="H217" s="31">
        <v>11725</v>
      </c>
      <c r="I217" s="31">
        <v>4165</v>
      </c>
      <c r="J217" s="31">
        <v>23</v>
      </c>
      <c r="K217" s="71">
        <f>(Table1[[#This Row],[unsub]]/Table1[[#This Row],[unique-sends]])*100</f>
        <v>0.14418254764292879</v>
      </c>
      <c r="L217" s="72">
        <f>Table1[[#This Row],[unique-opens]] / Table1[[#This Row],[unique-sends]] * 100</f>
        <v>73.501755265797399</v>
      </c>
      <c r="M217" s="73">
        <f>Table1[[#This Row],[unique-clicks]] / Table1[[#This Row],[unique-sends]] * 100</f>
        <v>26.109578736208626</v>
      </c>
      <c r="N217" s="73">
        <f>Table1[[#This Row],[unique-clicks]] / Table1[[#This Row],[unique-opens]] * 100</f>
        <v>35.522388059701491</v>
      </c>
      <c r="O217" s="73">
        <f>(MIN(Table1[[#This Row],[unique-opens]]/Table1[[#This Row],[unique-sends]],1)*50
 + MIN(Table1[[#This Row],[unique-clicks]]/Table1[[#This Row],[unique-sends]],1)*50)
 * (1 + MIN(Table1[[#This Row],[unique-clicks]]/Table1[[#This Row],[unique-sends]],1))
 - ((Table1[[#This Row],[unsub]]/Table1[[#This Row],[unique-sends]]*100)*2)</f>
        <v>62.521351746437922</v>
      </c>
      <c r="P217" s="11" t="str">
        <f>IF(Table1[[#This Row],[Engagement Score]]&lt;30,"🔴",IF(Table1[[#This Row],[Engagement Score]]&lt;40,"🟡","🟢"))</f>
        <v>🟢</v>
      </c>
      <c r="Q217" s="14">
        <v>72.099999999999994</v>
      </c>
      <c r="R217" s="14">
        <v>15.6</v>
      </c>
      <c r="S217" s="14">
        <v>12.3</v>
      </c>
      <c r="T217" s="20" t="s">
        <v>215</v>
      </c>
    </row>
    <row r="218" spans="1:20" ht="32.1" customHeight="1">
      <c r="A218" s="14">
        <v>39</v>
      </c>
      <c r="B218" s="21" t="s">
        <v>217</v>
      </c>
      <c r="C218" s="66">
        <v>45962</v>
      </c>
      <c r="D218" s="80" t="s">
        <v>29</v>
      </c>
      <c r="E218" s="80" t="s">
        <v>22</v>
      </c>
      <c r="F218" s="14" t="s">
        <v>23</v>
      </c>
      <c r="G218" s="14">
        <v>143</v>
      </c>
      <c r="H218" s="14">
        <v>75</v>
      </c>
      <c r="I218" s="15">
        <v>3</v>
      </c>
      <c r="J218" s="23">
        <v>0</v>
      </c>
      <c r="K218" s="71">
        <f>(Table1[[#This Row],[unsub]]/Table1[[#This Row],[unique-sends]])*100</f>
        <v>0</v>
      </c>
      <c r="L218" s="72">
        <f>Table1[[#This Row],[unique-opens]] / Table1[[#This Row],[unique-sends]] * 100</f>
        <v>52.447552447552447</v>
      </c>
      <c r="M218" s="73">
        <f>Table1[[#This Row],[unique-clicks]] / Table1[[#This Row],[unique-sends]] * 100</f>
        <v>2.0979020979020979</v>
      </c>
      <c r="N218" s="73">
        <f>Table1[[#This Row],[unique-clicks]] / Table1[[#This Row],[unique-opens]] * 100</f>
        <v>4</v>
      </c>
      <c r="O218" s="73">
        <f>(MIN(Table1[[#This Row],[unique-opens]]/Table1[[#This Row],[unique-sends]],1)*50
 + MIN(Table1[[#This Row],[unique-clicks]]/Table1[[#This Row],[unique-sends]],1)*50)
 * (1 + MIN(Table1[[#This Row],[unique-clicks]]/Table1[[#This Row],[unique-sends]],1))
 - ((Table1[[#This Row],[unsub]]/Table1[[#This Row],[unique-sends]]*100)*2)</f>
        <v>27.844882390336938</v>
      </c>
      <c r="P218" s="11" t="str">
        <f>IF(Table1[[#This Row],[Engagement Score]]&lt;30,"🔴",IF(Table1[[#This Row],[Engagement Score]]&lt;40,"🟡","🟢"))</f>
        <v>🔴</v>
      </c>
      <c r="Q218" s="23">
        <v>0</v>
      </c>
      <c r="R218" s="23">
        <v>0</v>
      </c>
      <c r="S218" s="23">
        <v>0</v>
      </c>
      <c r="T218" s="26"/>
    </row>
    <row r="219" spans="1:20" ht="32.1" customHeight="1">
      <c r="A219" s="14">
        <v>38</v>
      </c>
      <c r="B219" s="21" t="s">
        <v>218</v>
      </c>
      <c r="C219" s="66">
        <v>45962</v>
      </c>
      <c r="D219" s="80" t="s">
        <v>21</v>
      </c>
      <c r="E219" s="80" t="s">
        <v>22</v>
      </c>
      <c r="F219" s="14" t="s">
        <v>23</v>
      </c>
      <c r="G219" s="16">
        <v>4370</v>
      </c>
      <c r="H219" s="14">
        <v>2890</v>
      </c>
      <c r="I219" s="15">
        <v>74</v>
      </c>
      <c r="J219" s="23">
        <v>12</v>
      </c>
      <c r="K219" s="71">
        <f>(Table1[[#This Row],[unsub]]/Table1[[#This Row],[unique-sends]])*100</f>
        <v>0.27459954233409611</v>
      </c>
      <c r="L219" s="72">
        <f>Table1[[#This Row],[unique-opens]] / Table1[[#This Row],[unique-sends]] * 100</f>
        <v>66.132723112128147</v>
      </c>
      <c r="M219" s="73">
        <f>Table1[[#This Row],[unique-clicks]] / Table1[[#This Row],[unique-sends]] * 100</f>
        <v>1.6933638443935928</v>
      </c>
      <c r="N219" s="73">
        <f>Table1[[#This Row],[unique-clicks]] / Table1[[#This Row],[unique-opens]] * 100</f>
        <v>2.5605536332179932</v>
      </c>
      <c r="O219" s="73">
        <f>(MIN(Table1[[#This Row],[unique-opens]]/Table1[[#This Row],[unique-sends]],1)*50
 + MIN(Table1[[#This Row],[unique-clicks]]/Table1[[#This Row],[unique-sends]],1)*50)
 * (1 + MIN(Table1[[#This Row],[unique-clicks]]/Table1[[#This Row],[unique-sends]],1))
 - ((Table1[[#This Row],[unsub]]/Table1[[#This Row],[unique-sends]]*100)*2)</f>
        <v>33.93811561038703</v>
      </c>
      <c r="P219" s="11" t="str">
        <f>IF(Table1[[#This Row],[Engagement Score]]&lt;30,"🔴",IF(Table1[[#This Row],[Engagement Score]]&lt;40,"🟡","🟢"))</f>
        <v>🟡</v>
      </c>
      <c r="Q219" s="23">
        <v>0</v>
      </c>
      <c r="R219" s="23">
        <v>0</v>
      </c>
      <c r="S219" s="23">
        <v>0</v>
      </c>
      <c r="T219" s="27" t="s">
        <v>24</v>
      </c>
    </row>
    <row r="220" spans="1:20" ht="32.1" customHeight="1">
      <c r="A220" s="14">
        <v>79</v>
      </c>
      <c r="B220" s="21" t="s">
        <v>219</v>
      </c>
      <c r="C220" s="66">
        <v>45962</v>
      </c>
      <c r="D220" s="80" t="s">
        <v>21</v>
      </c>
      <c r="E220" s="80" t="s">
        <v>22</v>
      </c>
      <c r="F220" s="14" t="s">
        <v>23</v>
      </c>
      <c r="G220" s="16">
        <v>2755</v>
      </c>
      <c r="H220" s="14">
        <v>2151</v>
      </c>
      <c r="I220" s="15">
        <v>300</v>
      </c>
      <c r="J220" s="23">
        <v>9</v>
      </c>
      <c r="K220" s="71">
        <f>(Table1[[#This Row],[unsub]]/Table1[[#This Row],[unique-sends]])*100</f>
        <v>0.32667876588021777</v>
      </c>
      <c r="L220" s="72">
        <f>Table1[[#This Row],[unique-opens]] / Table1[[#This Row],[unique-sends]] * 100</f>
        <v>78.076225045372055</v>
      </c>
      <c r="M220" s="73">
        <f>Table1[[#This Row],[unique-clicks]] / Table1[[#This Row],[unique-sends]] * 100</f>
        <v>10.88929219600726</v>
      </c>
      <c r="N220" s="73">
        <f>Table1[[#This Row],[unique-clicks]] / Table1[[#This Row],[unique-opens]] * 100</f>
        <v>13.947001394700139</v>
      </c>
      <c r="O220" s="73">
        <f>(MIN(Table1[[#This Row],[unique-opens]]/Table1[[#This Row],[unique-sends]],1)*50
 + MIN(Table1[[#This Row],[unique-clicks]]/Table1[[#This Row],[unique-sends]],1)*50)
 * (1 + MIN(Table1[[#This Row],[unique-clicks]]/Table1[[#This Row],[unique-sends]],1))
 - ((Table1[[#This Row],[unsub]]/Table1[[#This Row],[unique-sends]]*100)*2)</f>
        <v>48.673258651980724</v>
      </c>
      <c r="P220" s="11" t="str">
        <f>IF(Table1[[#This Row],[Engagement Score]]&lt;30,"🔴",IF(Table1[[#This Row],[Engagement Score]]&lt;40,"🟡","🟢"))</f>
        <v>🟢</v>
      </c>
      <c r="Q220" s="23"/>
      <c r="R220" s="23"/>
      <c r="S220" s="23"/>
      <c r="T220" s="26"/>
    </row>
    <row r="221" spans="1:20" ht="32.1" customHeight="1">
      <c r="A221" s="14">
        <v>96</v>
      </c>
      <c r="B221" s="21" t="s">
        <v>220</v>
      </c>
      <c r="C221" s="66">
        <v>45962</v>
      </c>
      <c r="D221" s="80" t="s">
        <v>29</v>
      </c>
      <c r="E221" s="80" t="s">
        <v>22</v>
      </c>
      <c r="F221" s="14" t="s">
        <v>23</v>
      </c>
      <c r="G221" s="14">
        <v>94</v>
      </c>
      <c r="H221" s="14">
        <v>74</v>
      </c>
      <c r="I221" s="15">
        <v>5</v>
      </c>
      <c r="J221" s="23">
        <v>0</v>
      </c>
      <c r="K221" s="71">
        <f>(Table1[[#This Row],[unsub]]/Table1[[#This Row],[unique-sends]])*100</f>
        <v>0</v>
      </c>
      <c r="L221" s="72">
        <f>Table1[[#This Row],[unique-opens]] / Table1[[#This Row],[unique-sends]] * 100</f>
        <v>78.723404255319153</v>
      </c>
      <c r="M221" s="73">
        <f>Table1[[#This Row],[unique-clicks]] / Table1[[#This Row],[unique-sends]] * 100</f>
        <v>5.3191489361702127</v>
      </c>
      <c r="N221" s="73">
        <f>Table1[[#This Row],[unique-clicks]] / Table1[[#This Row],[unique-opens]] * 100</f>
        <v>6.756756756756757</v>
      </c>
      <c r="O221" s="73">
        <f>(MIN(Table1[[#This Row],[unique-opens]]/Table1[[#This Row],[unique-sends]],1)*50
 + MIN(Table1[[#This Row],[unique-clicks]]/Table1[[#This Row],[unique-sends]],1)*50)
 * (1 + MIN(Table1[[#This Row],[unique-clicks]]/Table1[[#This Row],[unique-sends]],1))
 - ((Table1[[#This Row],[unsub]]/Table1[[#This Row],[unique-sends]]*100)*2)</f>
        <v>44.256450882752375</v>
      </c>
      <c r="P221" s="11" t="str">
        <f>IF(Table1[[#This Row],[Engagement Score]]&lt;30,"🔴",IF(Table1[[#This Row],[Engagement Score]]&lt;40,"🟡","🟢"))</f>
        <v>🟢</v>
      </c>
      <c r="Q221" s="23" t="s">
        <v>24</v>
      </c>
      <c r="R221" s="23" t="s">
        <v>24</v>
      </c>
      <c r="S221" s="23" t="s">
        <v>24</v>
      </c>
      <c r="T221" s="27" t="s">
        <v>24</v>
      </c>
    </row>
    <row r="222" spans="1:20" ht="32.1" customHeight="1">
      <c r="A222" s="14">
        <v>46</v>
      </c>
      <c r="B222" s="21" t="s">
        <v>221</v>
      </c>
      <c r="C222" s="66">
        <v>45962</v>
      </c>
      <c r="D222" s="80" t="s">
        <v>21</v>
      </c>
      <c r="E222" s="80" t="s">
        <v>22</v>
      </c>
      <c r="F222" s="14" t="s">
        <v>23</v>
      </c>
      <c r="G222" s="16">
        <v>2031</v>
      </c>
      <c r="H222" s="14">
        <v>1320</v>
      </c>
      <c r="I222" s="15">
        <v>199</v>
      </c>
      <c r="J222" s="23">
        <v>4</v>
      </c>
      <c r="K222" s="71">
        <f>(Table1[[#This Row],[unsub]]/Table1[[#This Row],[unique-sends]])*100</f>
        <v>0.19694731659281145</v>
      </c>
      <c r="L222" s="72">
        <f>Table1[[#This Row],[unique-opens]] / Table1[[#This Row],[unique-sends]] * 100</f>
        <v>64.992614475627775</v>
      </c>
      <c r="M222" s="73">
        <f>Table1[[#This Row],[unique-clicks]] / Table1[[#This Row],[unique-sends]] * 100</f>
        <v>9.7981290004923682</v>
      </c>
      <c r="N222" s="73">
        <f>Table1[[#This Row],[unique-clicks]] / Table1[[#This Row],[unique-opens]] * 100</f>
        <v>15.075757575757576</v>
      </c>
      <c r="O222" s="73">
        <f>(MIN(Table1[[#This Row],[unique-opens]]/Table1[[#This Row],[unique-sends]],1)*50
 + MIN(Table1[[#This Row],[unique-clicks]]/Table1[[#This Row],[unique-sends]],1)*50)
 * (1 + MIN(Table1[[#This Row],[unique-clicks]]/Table1[[#This Row],[unique-sends]],1))
 - ((Table1[[#This Row],[unsub]]/Table1[[#This Row],[unique-sends]]*100)*2)</f>
        <v>40.665523867983239</v>
      </c>
      <c r="P222" s="11" t="str">
        <f>IF(Table1[[#This Row],[Engagement Score]]&lt;30,"🔴",IF(Table1[[#This Row],[Engagement Score]]&lt;40,"🟡","🟢"))</f>
        <v>🟢</v>
      </c>
      <c r="Q222" s="23"/>
      <c r="R222" s="23"/>
      <c r="S222" s="23"/>
      <c r="T222" s="26"/>
    </row>
    <row r="223" spans="1:20" ht="32.1" customHeight="1">
      <c r="A223" s="14">
        <v>45</v>
      </c>
      <c r="B223" s="21" t="s">
        <v>221</v>
      </c>
      <c r="C223" s="66">
        <v>45962</v>
      </c>
      <c r="D223" s="80" t="s">
        <v>29</v>
      </c>
      <c r="E223" s="80" t="s">
        <v>22</v>
      </c>
      <c r="F223" s="14" t="s">
        <v>23</v>
      </c>
      <c r="G223" s="14">
        <v>76</v>
      </c>
      <c r="H223" s="14">
        <v>58</v>
      </c>
      <c r="I223" s="15">
        <v>11</v>
      </c>
      <c r="J223" s="23">
        <v>0</v>
      </c>
      <c r="K223" s="71">
        <f>(Table1[[#This Row],[unsub]]/Table1[[#This Row],[unique-sends]])*100</f>
        <v>0</v>
      </c>
      <c r="L223" s="72">
        <f>Table1[[#This Row],[unique-opens]] / Table1[[#This Row],[unique-sends]] * 100</f>
        <v>76.31578947368422</v>
      </c>
      <c r="M223" s="73">
        <f>Table1[[#This Row],[unique-clicks]] / Table1[[#This Row],[unique-sends]] * 100</f>
        <v>14.473684210526317</v>
      </c>
      <c r="N223" s="73">
        <f>Table1[[#This Row],[unique-clicks]] / Table1[[#This Row],[unique-opens]] * 100</f>
        <v>18.96551724137931</v>
      </c>
      <c r="O223" s="73">
        <f>(MIN(Table1[[#This Row],[unique-opens]]/Table1[[#This Row],[unique-sends]],1)*50
 + MIN(Table1[[#This Row],[unique-clicks]]/Table1[[#This Row],[unique-sends]],1)*50)
 * (1 + MIN(Table1[[#This Row],[unique-clicks]]/Table1[[#This Row],[unique-sends]],1))
 - ((Table1[[#This Row],[unsub]]/Table1[[#This Row],[unique-sends]]*100)*2)</f>
        <v>51.965027700831037</v>
      </c>
      <c r="P223" s="11" t="str">
        <f>IF(Table1[[#This Row],[Engagement Score]]&lt;30,"🔴",IF(Table1[[#This Row],[Engagement Score]]&lt;40,"🟡","🟢"))</f>
        <v>🟢</v>
      </c>
      <c r="Q223" s="23" t="s">
        <v>24</v>
      </c>
      <c r="R223" s="23" t="s">
        <v>24</v>
      </c>
      <c r="S223" s="23" t="s">
        <v>24</v>
      </c>
      <c r="T223" s="27" t="s">
        <v>24</v>
      </c>
    </row>
    <row r="224" spans="1:20" ht="32.1" customHeight="1">
      <c r="A224" s="14">
        <v>43</v>
      </c>
      <c r="B224" s="21" t="s">
        <v>39</v>
      </c>
      <c r="C224" s="66">
        <v>45962</v>
      </c>
      <c r="D224" s="80" t="s">
        <v>21</v>
      </c>
      <c r="E224" s="80" t="s">
        <v>22</v>
      </c>
      <c r="F224" s="14" t="s">
        <v>23</v>
      </c>
      <c r="G224" s="14">
        <v>80</v>
      </c>
      <c r="H224" s="14">
        <v>67</v>
      </c>
      <c r="I224" s="15">
        <v>4</v>
      </c>
      <c r="J224" s="23">
        <v>0</v>
      </c>
      <c r="K224" s="71">
        <f>(Table1[[#This Row],[unsub]]/Table1[[#This Row],[unique-sends]])*100</f>
        <v>0</v>
      </c>
      <c r="L224" s="72">
        <f>Table1[[#This Row],[unique-opens]] / Table1[[#This Row],[unique-sends]] * 100</f>
        <v>83.75</v>
      </c>
      <c r="M224" s="73">
        <f>Table1[[#This Row],[unique-clicks]] / Table1[[#This Row],[unique-sends]] * 100</f>
        <v>5</v>
      </c>
      <c r="N224" s="73">
        <f>Table1[[#This Row],[unique-clicks]] / Table1[[#This Row],[unique-opens]] * 100</f>
        <v>5.9701492537313428</v>
      </c>
      <c r="O224" s="73">
        <f>(MIN(Table1[[#This Row],[unique-opens]]/Table1[[#This Row],[unique-sends]],1)*50
 + MIN(Table1[[#This Row],[unique-clicks]]/Table1[[#This Row],[unique-sends]],1)*50)
 * (1 + MIN(Table1[[#This Row],[unique-clicks]]/Table1[[#This Row],[unique-sends]],1))
 - ((Table1[[#This Row],[unsub]]/Table1[[#This Row],[unique-sends]]*100)*2)</f>
        <v>46.59375</v>
      </c>
      <c r="P224" s="11" t="str">
        <f>IF(Table1[[#This Row],[Engagement Score]]&lt;30,"🔴",IF(Table1[[#This Row],[Engagement Score]]&lt;40,"🟡","🟢"))</f>
        <v>🟢</v>
      </c>
      <c r="Q224" s="23"/>
      <c r="R224" s="23"/>
      <c r="S224" s="23"/>
      <c r="T224" s="26"/>
    </row>
    <row r="225" spans="1:20" ht="32.1" customHeight="1">
      <c r="A225" s="14">
        <v>44</v>
      </c>
      <c r="B225" s="21" t="s">
        <v>38</v>
      </c>
      <c r="C225" s="66">
        <v>45962</v>
      </c>
      <c r="D225" s="80" t="s">
        <v>21</v>
      </c>
      <c r="E225" s="80" t="s">
        <v>22</v>
      </c>
      <c r="F225" s="14" t="s">
        <v>23</v>
      </c>
      <c r="G225" s="14">
        <v>768</v>
      </c>
      <c r="H225" s="14">
        <v>488</v>
      </c>
      <c r="I225" s="15">
        <v>33</v>
      </c>
      <c r="J225" s="23">
        <v>0</v>
      </c>
      <c r="K225" s="71">
        <f>(Table1[[#This Row],[unsub]]/Table1[[#This Row],[unique-sends]])*100</f>
        <v>0</v>
      </c>
      <c r="L225" s="72">
        <f>Table1[[#This Row],[unique-opens]] / Table1[[#This Row],[unique-sends]] * 100</f>
        <v>63.541666666666664</v>
      </c>
      <c r="M225" s="73">
        <f>Table1[[#This Row],[unique-clicks]] / Table1[[#This Row],[unique-sends]] * 100</f>
        <v>4.296875</v>
      </c>
      <c r="N225" s="73">
        <f>Table1[[#This Row],[unique-clicks]] / Table1[[#This Row],[unique-opens]] * 100</f>
        <v>6.7622950819672134</v>
      </c>
      <c r="O225" s="73">
        <f>(MIN(Table1[[#This Row],[unique-opens]]/Table1[[#This Row],[unique-sends]],1)*50
 + MIN(Table1[[#This Row],[unique-clicks]]/Table1[[#This Row],[unique-sends]],1)*50)
 * (1 + MIN(Table1[[#This Row],[unique-clicks]]/Table1[[#This Row],[unique-sends]],1))
 - ((Table1[[#This Row],[unsub]]/Table1[[#This Row],[unique-sends]]*100)*2)</f>
        <v>35.376739501953118</v>
      </c>
      <c r="P225" s="11" t="str">
        <f>IF(Table1[[#This Row],[Engagement Score]]&lt;30,"🔴",IF(Table1[[#This Row],[Engagement Score]]&lt;40,"🟡","🟢"))</f>
        <v>🟡</v>
      </c>
      <c r="Q225" s="23" t="s">
        <v>24</v>
      </c>
      <c r="R225" s="23" t="s">
        <v>24</v>
      </c>
      <c r="S225" s="23" t="s">
        <v>24</v>
      </c>
      <c r="T225" s="27" t="s">
        <v>24</v>
      </c>
    </row>
    <row r="226" spans="1:20" ht="32.1" customHeight="1">
      <c r="A226" s="14">
        <v>38</v>
      </c>
      <c r="B226" s="21" t="s">
        <v>34</v>
      </c>
      <c r="C226" s="66">
        <v>45962</v>
      </c>
      <c r="D226" s="80" t="s">
        <v>21</v>
      </c>
      <c r="E226" s="80" t="s">
        <v>22</v>
      </c>
      <c r="F226" s="14" t="s">
        <v>23</v>
      </c>
      <c r="G226" s="14">
        <v>149</v>
      </c>
      <c r="H226" s="14">
        <v>122</v>
      </c>
      <c r="I226" s="15">
        <v>34</v>
      </c>
      <c r="J226" s="23">
        <v>0</v>
      </c>
      <c r="K226" s="71">
        <f>(Table1[[#This Row],[unsub]]/Table1[[#This Row],[unique-sends]])*100</f>
        <v>0</v>
      </c>
      <c r="L226" s="72">
        <f>Table1[[#This Row],[unique-opens]] / Table1[[#This Row],[unique-sends]] * 100</f>
        <v>81.87919463087249</v>
      </c>
      <c r="M226" s="73">
        <f>Table1[[#This Row],[unique-clicks]] / Table1[[#This Row],[unique-sends]] * 100</f>
        <v>22.818791946308725</v>
      </c>
      <c r="N226" s="73">
        <f>Table1[[#This Row],[unique-clicks]] / Table1[[#This Row],[unique-opens]] * 100</f>
        <v>27.868852459016392</v>
      </c>
      <c r="O226" s="73">
        <f>(MIN(Table1[[#This Row],[unique-opens]]/Table1[[#This Row],[unique-sends]],1)*50
 + MIN(Table1[[#This Row],[unique-clicks]]/Table1[[#This Row],[unique-sends]],1)*50)
 * (1 + MIN(Table1[[#This Row],[unique-clicks]]/Table1[[#This Row],[unique-sends]],1))
 - ((Table1[[#This Row],[unsub]]/Table1[[#This Row],[unique-sends]]*100)*2)</f>
        <v>64.294401153101205</v>
      </c>
      <c r="P226" s="11" t="str">
        <f>IF(Table1[[#This Row],[Engagement Score]]&lt;30,"🔴",IF(Table1[[#This Row],[Engagement Score]]&lt;40,"🟡","🟢"))</f>
        <v>🟢</v>
      </c>
      <c r="Q226" s="23"/>
      <c r="R226" s="23"/>
      <c r="S226" s="23"/>
      <c r="T226" s="26"/>
    </row>
    <row r="227" spans="1:20" ht="32.1" customHeight="1">
      <c r="A227" s="14">
        <v>35</v>
      </c>
      <c r="B227" s="21" t="s">
        <v>32</v>
      </c>
      <c r="C227" s="66">
        <v>45962</v>
      </c>
      <c r="D227" s="80" t="s">
        <v>21</v>
      </c>
      <c r="E227" s="80" t="s">
        <v>22</v>
      </c>
      <c r="F227" s="14" t="s">
        <v>23</v>
      </c>
      <c r="G227" s="14">
        <v>818</v>
      </c>
      <c r="H227" s="14">
        <v>387</v>
      </c>
      <c r="I227" s="15">
        <v>40</v>
      </c>
      <c r="J227" s="23">
        <v>2</v>
      </c>
      <c r="K227" s="71">
        <f>(Table1[[#This Row],[unsub]]/Table1[[#This Row],[unique-sends]])*100</f>
        <v>0.24449877750611246</v>
      </c>
      <c r="L227" s="72">
        <f>Table1[[#This Row],[unique-opens]] / Table1[[#This Row],[unique-sends]] * 100</f>
        <v>47.310513447432761</v>
      </c>
      <c r="M227" s="73">
        <f>Table1[[#This Row],[unique-clicks]] / Table1[[#This Row],[unique-sends]] * 100</f>
        <v>4.8899755501222497</v>
      </c>
      <c r="N227" s="73">
        <f>Table1[[#This Row],[unique-clicks]] / Table1[[#This Row],[unique-opens]] * 100</f>
        <v>10.335917312661499</v>
      </c>
      <c r="O227" s="73">
        <f>(MIN(Table1[[#This Row],[unique-opens]]/Table1[[#This Row],[unique-sends]],1)*50
 + MIN(Table1[[#This Row],[unique-clicks]]/Table1[[#This Row],[unique-sends]],1)*50)
 * (1 + MIN(Table1[[#This Row],[unique-clicks]]/Table1[[#This Row],[unique-sends]],1))
 - ((Table1[[#This Row],[unsub]]/Table1[[#This Row],[unique-sends]]*100)*2)</f>
        <v>26.887542518277627</v>
      </c>
      <c r="P227" s="11" t="str">
        <f>IF(Table1[[#This Row],[Engagement Score]]&lt;30,"🔴",IF(Table1[[#This Row],[Engagement Score]]&lt;40,"🟡","🟢"))</f>
        <v>🔴</v>
      </c>
      <c r="Q227" s="23"/>
      <c r="R227" s="23"/>
      <c r="S227" s="23"/>
      <c r="T227" s="26"/>
    </row>
    <row r="228" spans="1:20" ht="32.1" customHeight="1">
      <c r="A228" s="14">
        <v>36</v>
      </c>
      <c r="B228" s="21" t="s">
        <v>32</v>
      </c>
      <c r="C228" s="66">
        <v>45962</v>
      </c>
      <c r="D228" s="80" t="s">
        <v>29</v>
      </c>
      <c r="E228" s="80" t="s">
        <v>22</v>
      </c>
      <c r="F228" s="14" t="s">
        <v>23</v>
      </c>
      <c r="G228" s="25">
        <v>29</v>
      </c>
      <c r="H228" s="14">
        <v>15</v>
      </c>
      <c r="I228" s="15">
        <v>2</v>
      </c>
      <c r="J228" s="23">
        <v>0</v>
      </c>
      <c r="K228" s="71">
        <f>(Table1[[#This Row],[unsub]]/Table1[[#This Row],[unique-sends]])*100</f>
        <v>0</v>
      </c>
      <c r="L228" s="72">
        <f>Table1[[#This Row],[unique-opens]] / Table1[[#This Row],[unique-sends]] * 100</f>
        <v>51.724137931034484</v>
      </c>
      <c r="M228" s="73">
        <f>Table1[[#This Row],[unique-clicks]] / Table1[[#This Row],[unique-sends]] * 100</f>
        <v>6.8965517241379306</v>
      </c>
      <c r="N228" s="73">
        <f>Table1[[#This Row],[unique-clicks]] / Table1[[#This Row],[unique-opens]] * 100</f>
        <v>13.333333333333334</v>
      </c>
      <c r="O228" s="73">
        <f>(MIN(Table1[[#This Row],[unique-opens]]/Table1[[#This Row],[unique-sends]],1)*50
 + MIN(Table1[[#This Row],[unique-clicks]]/Table1[[#This Row],[unique-sends]],1)*50)
 * (1 + MIN(Table1[[#This Row],[unique-clicks]]/Table1[[#This Row],[unique-sends]],1))
 - ((Table1[[#This Row],[unsub]]/Table1[[#This Row],[unique-sends]]*100)*2)</f>
        <v>31.331747919143872</v>
      </c>
      <c r="P228" s="11" t="str">
        <f>IF(Table1[[#This Row],[Engagement Score]]&lt;30,"🔴",IF(Table1[[#This Row],[Engagement Score]]&lt;40,"🟡","🟢"))</f>
        <v>🟡</v>
      </c>
      <c r="Q228" s="23" t="s">
        <v>24</v>
      </c>
      <c r="R228" s="23" t="s">
        <v>24</v>
      </c>
      <c r="S228" s="23" t="s">
        <v>24</v>
      </c>
      <c r="T228" s="27" t="s">
        <v>24</v>
      </c>
    </row>
    <row r="229" spans="1:20" ht="32.1" customHeight="1">
      <c r="A229" s="14">
        <v>34</v>
      </c>
      <c r="B229" s="21" t="s">
        <v>31</v>
      </c>
      <c r="C229" s="66">
        <v>45962</v>
      </c>
      <c r="D229" s="80" t="s">
        <v>21</v>
      </c>
      <c r="E229" s="80" t="s">
        <v>22</v>
      </c>
      <c r="F229" s="14" t="s">
        <v>23</v>
      </c>
      <c r="G229" s="16">
        <v>2589</v>
      </c>
      <c r="H229" s="14">
        <v>2431</v>
      </c>
      <c r="I229" s="15">
        <v>63</v>
      </c>
      <c r="J229" s="23">
        <v>16</v>
      </c>
      <c r="K229" s="71">
        <f>(Table1[[#This Row],[unsub]]/Table1[[#This Row],[unique-sends]])*100</f>
        <v>0.61799922750096559</v>
      </c>
      <c r="L229" s="72">
        <f>Table1[[#This Row],[unique-opens]] / Table1[[#This Row],[unique-sends]] * 100</f>
        <v>93.897257628427965</v>
      </c>
      <c r="M229" s="73">
        <f>Table1[[#This Row],[unique-clicks]] / Table1[[#This Row],[unique-sends]] * 100</f>
        <v>2.4333719582850524</v>
      </c>
      <c r="N229" s="73">
        <f>Table1[[#This Row],[unique-clicks]] / Table1[[#This Row],[unique-opens]] * 100</f>
        <v>2.5915261209378855</v>
      </c>
      <c r="O229" s="73">
        <f>(MIN(Table1[[#This Row],[unique-opens]]/Table1[[#This Row],[unique-sends]],1)*50
 + MIN(Table1[[#This Row],[unique-clicks]]/Table1[[#This Row],[unique-sends]],1)*50)
 * (1 + MIN(Table1[[#This Row],[unique-clicks]]/Table1[[#This Row],[unique-sends]],1))
 - ((Table1[[#This Row],[unsub]]/Table1[[#This Row],[unique-sends]]*100)*2)</f>
        <v>48.101357602155836</v>
      </c>
      <c r="P229" s="11" t="str">
        <f>IF(Table1[[#This Row],[Engagement Score]]&lt;30,"🔴",IF(Table1[[#This Row],[Engagement Score]]&lt;40,"🟡","🟢"))</f>
        <v>🟢</v>
      </c>
      <c r="Q229" s="23"/>
      <c r="R229" s="23"/>
      <c r="S229" s="23"/>
      <c r="T229" s="26"/>
    </row>
    <row r="230" spans="1:20" ht="32.1" customHeight="1">
      <c r="A230" s="14">
        <v>14</v>
      </c>
      <c r="B230" s="21" t="s">
        <v>20</v>
      </c>
      <c r="C230" s="66">
        <v>45962</v>
      </c>
      <c r="D230" s="80" t="s">
        <v>21</v>
      </c>
      <c r="E230" s="80" t="s">
        <v>22</v>
      </c>
      <c r="F230" s="14" t="s">
        <v>23</v>
      </c>
      <c r="G230" s="16">
        <v>1826</v>
      </c>
      <c r="H230" s="14">
        <v>1666</v>
      </c>
      <c r="I230" s="15">
        <v>49</v>
      </c>
      <c r="J230" s="23">
        <v>7</v>
      </c>
      <c r="K230" s="71">
        <f>(Table1[[#This Row],[unsub]]/Table1[[#This Row],[unique-sends]])*100</f>
        <v>0.38335158817086529</v>
      </c>
      <c r="L230" s="72">
        <f>Table1[[#This Row],[unique-opens]] / Table1[[#This Row],[unique-sends]] * 100</f>
        <v>91.237677984665936</v>
      </c>
      <c r="M230" s="73">
        <f>Table1[[#This Row],[unique-clicks]] / Table1[[#This Row],[unique-sends]] * 100</f>
        <v>2.6834611171960567</v>
      </c>
      <c r="N230" s="73">
        <f>Table1[[#This Row],[unique-clicks]] / Table1[[#This Row],[unique-opens]] * 100</f>
        <v>2.9411764705882351</v>
      </c>
      <c r="O230" s="73">
        <f>(MIN(Table1[[#This Row],[unique-opens]]/Table1[[#This Row],[unique-sends]],1)*50
 + MIN(Table1[[#This Row],[unique-clicks]]/Table1[[#This Row],[unique-sends]],1)*50)
 * (1 + MIN(Table1[[#This Row],[unique-clicks]]/Table1[[#This Row],[unique-sends]],1))
 - ((Table1[[#This Row],[unsub]]/Table1[[#This Row],[unique-sends]]*100)*2)</f>
        <v>47.454034998902316</v>
      </c>
      <c r="P230" s="11" t="str">
        <f>IF(Table1[[#This Row],[Engagement Score]]&lt;30,"🔴",IF(Table1[[#This Row],[Engagement Score]]&lt;40,"🟡","🟢"))</f>
        <v>🟢</v>
      </c>
      <c r="Q230" s="23" t="s">
        <v>24</v>
      </c>
      <c r="R230" s="23" t="s">
        <v>24</v>
      </c>
      <c r="S230" s="23" t="s">
        <v>24</v>
      </c>
      <c r="T230" s="27" t="s">
        <v>24</v>
      </c>
    </row>
    <row r="231" spans="1:20" ht="32.1" customHeight="1">
      <c r="A231" s="14">
        <v>23</v>
      </c>
      <c r="B231" s="21" t="s">
        <v>187</v>
      </c>
      <c r="C231" s="66">
        <v>45962</v>
      </c>
      <c r="D231" s="80" t="s">
        <v>21</v>
      </c>
      <c r="E231" s="80" t="s">
        <v>22</v>
      </c>
      <c r="F231" s="14" t="s">
        <v>23</v>
      </c>
      <c r="G231" s="14">
        <v>592</v>
      </c>
      <c r="H231" s="14">
        <v>401</v>
      </c>
      <c r="I231" s="15">
        <v>62</v>
      </c>
      <c r="J231" s="8">
        <v>0</v>
      </c>
      <c r="K231" s="71">
        <f>(Table1[[#This Row],[unsub]]/Table1[[#This Row],[unique-sends]])*100</f>
        <v>0</v>
      </c>
      <c r="L231" s="72">
        <f>Table1[[#This Row],[unique-opens]] / Table1[[#This Row],[unique-sends]] * 100</f>
        <v>67.736486486486484</v>
      </c>
      <c r="M231" s="73">
        <f>Table1[[#This Row],[unique-clicks]] / Table1[[#This Row],[unique-sends]] * 100</f>
        <v>10.472972972972974</v>
      </c>
      <c r="N231" s="73">
        <f>Table1[[#This Row],[unique-clicks]] / Table1[[#This Row],[unique-opens]] * 100</f>
        <v>15.46134663341646</v>
      </c>
      <c r="O231" s="73">
        <f>(MIN(Table1[[#This Row],[unique-opens]]/Table1[[#This Row],[unique-sends]],1)*50
 + MIN(Table1[[#This Row],[unique-clicks]]/Table1[[#This Row],[unique-sends]],1)*50)
 * (1 + MIN(Table1[[#This Row],[unique-clicks]]/Table1[[#This Row],[unique-sends]],1))
 - ((Table1[[#This Row],[unsub]]/Table1[[#This Row],[unique-sends]]*100)*2)</f>
        <v>43.200157505478451</v>
      </c>
      <c r="P231" s="11" t="str">
        <f>IF(Table1[[#This Row],[Engagement Score]]&lt;30,"🔴",IF(Table1[[#This Row],[Engagement Score]]&lt;40,"🟡","🟢"))</f>
        <v>🟢</v>
      </c>
      <c r="Q231" s="23"/>
      <c r="R231" s="23"/>
      <c r="S231" s="23"/>
      <c r="T231" s="26"/>
    </row>
    <row r="232" spans="1:20" ht="32.1" customHeight="1">
      <c r="A232" s="14">
        <v>22</v>
      </c>
      <c r="B232" s="21" t="s">
        <v>188</v>
      </c>
      <c r="C232" s="66">
        <v>45962</v>
      </c>
      <c r="D232" s="80" t="s">
        <v>21</v>
      </c>
      <c r="E232" s="80" t="s">
        <v>22</v>
      </c>
      <c r="F232" s="14" t="s">
        <v>23</v>
      </c>
      <c r="G232" s="14">
        <v>780</v>
      </c>
      <c r="H232" s="14">
        <v>553</v>
      </c>
      <c r="I232" s="15">
        <v>198</v>
      </c>
      <c r="J232" s="14">
        <v>0</v>
      </c>
      <c r="K232" s="71">
        <f>(Table1[[#This Row],[unsub]]/Table1[[#This Row],[unique-sends]])*100</f>
        <v>0</v>
      </c>
      <c r="L232" s="72">
        <f>Table1[[#This Row],[unique-opens]] / Table1[[#This Row],[unique-sends]] * 100</f>
        <v>70.897435897435898</v>
      </c>
      <c r="M232" s="73">
        <f>Table1[[#This Row],[unique-clicks]] / Table1[[#This Row],[unique-sends]] * 100</f>
        <v>25.384615384615383</v>
      </c>
      <c r="N232" s="73">
        <f>Table1[[#This Row],[unique-clicks]] / Table1[[#This Row],[unique-opens]] * 100</f>
        <v>35.804701627486438</v>
      </c>
      <c r="O232" s="73">
        <f>(MIN(Table1[[#This Row],[unique-opens]]/Table1[[#This Row],[unique-sends]],1)*50
 + MIN(Table1[[#This Row],[unique-clicks]]/Table1[[#This Row],[unique-sends]],1)*50)
 * (1 + MIN(Table1[[#This Row],[unique-clicks]]/Table1[[#This Row],[unique-sends]],1))
 - ((Table1[[#This Row],[unsub]]/Table1[[#This Row],[unique-sends]]*100)*2)</f>
        <v>60.361439842209073</v>
      </c>
      <c r="P232" s="11" t="str">
        <f>IF(Table1[[#This Row],[Engagement Score]]&lt;30,"🔴",IF(Table1[[#This Row],[Engagement Score]]&lt;40,"🟡","🟢"))</f>
        <v>🟢</v>
      </c>
      <c r="Q232" s="23"/>
      <c r="R232" s="23"/>
      <c r="S232" s="23"/>
      <c r="T232" s="26"/>
    </row>
    <row r="233" spans="1:20" ht="32.1" customHeight="1">
      <c r="A233" s="14">
        <v>21</v>
      </c>
      <c r="B233" s="21" t="s">
        <v>189</v>
      </c>
      <c r="C233" s="66">
        <v>45962</v>
      </c>
      <c r="D233" s="80" t="s">
        <v>21</v>
      </c>
      <c r="E233" s="80" t="s">
        <v>22</v>
      </c>
      <c r="F233" s="14" t="s">
        <v>23</v>
      </c>
      <c r="G233" s="14">
        <v>840</v>
      </c>
      <c r="H233" s="14">
        <v>494</v>
      </c>
      <c r="I233" s="15">
        <v>94</v>
      </c>
      <c r="J233" s="8">
        <v>1</v>
      </c>
      <c r="K233" s="71">
        <f>(Table1[[#This Row],[unsub]]/Table1[[#This Row],[unique-sends]])*100</f>
        <v>0.11904761904761905</v>
      </c>
      <c r="L233" s="72">
        <f>Table1[[#This Row],[unique-opens]] / Table1[[#This Row],[unique-sends]] * 100</f>
        <v>58.80952380952381</v>
      </c>
      <c r="M233" s="73">
        <f>Table1[[#This Row],[unique-clicks]] / Table1[[#This Row],[unique-sends]] * 100</f>
        <v>11.190476190476192</v>
      </c>
      <c r="N233" s="73">
        <f>Table1[[#This Row],[unique-clicks]] / Table1[[#This Row],[unique-opens]] * 100</f>
        <v>19.02834008097166</v>
      </c>
      <c r="O233" s="73">
        <f>(MIN(Table1[[#This Row],[unique-opens]]/Table1[[#This Row],[unique-sends]],1)*50
 + MIN(Table1[[#This Row],[unique-clicks]]/Table1[[#This Row],[unique-sends]],1)*50)
 * (1 + MIN(Table1[[#This Row],[unique-clicks]]/Table1[[#This Row],[unique-sends]],1))
 - ((Table1[[#This Row],[unsub]]/Table1[[#This Row],[unique-sends]]*100)*2)</f>
        <v>38.678571428571431</v>
      </c>
      <c r="P233" s="11" t="str">
        <f>IF(Table1[[#This Row],[Engagement Score]]&lt;30,"🔴",IF(Table1[[#This Row],[Engagement Score]]&lt;40,"🟡","🟢"))</f>
        <v>🟡</v>
      </c>
      <c r="Q233" s="23"/>
      <c r="R233" s="23"/>
      <c r="S233" s="23"/>
      <c r="T233" s="26"/>
    </row>
    <row r="234" spans="1:20" ht="32.1" customHeight="1">
      <c r="A234" s="8">
        <v>20</v>
      </c>
      <c r="B234" s="17" t="s">
        <v>190</v>
      </c>
      <c r="C234" s="66">
        <v>45962</v>
      </c>
      <c r="D234" s="79" t="s">
        <v>21</v>
      </c>
      <c r="E234" s="79" t="s">
        <v>22</v>
      </c>
      <c r="F234" s="8" t="s">
        <v>23</v>
      </c>
      <c r="G234" s="10">
        <v>1377</v>
      </c>
      <c r="H234" s="8">
        <v>705</v>
      </c>
      <c r="I234" s="6">
        <v>42</v>
      </c>
      <c r="J234" s="8">
        <v>2</v>
      </c>
      <c r="K234" s="71">
        <f>(Table1[[#This Row],[unsub]]/Table1[[#This Row],[unique-sends]])*100</f>
        <v>0.14524328249818447</v>
      </c>
      <c r="L234" s="72">
        <f>Table1[[#This Row],[unique-opens]] / Table1[[#This Row],[unique-sends]] * 100</f>
        <v>51.19825708061002</v>
      </c>
      <c r="M234" s="73">
        <f>Table1[[#This Row],[unique-clicks]] / Table1[[#This Row],[unique-sends]] * 100</f>
        <v>3.0501089324618738</v>
      </c>
      <c r="N234" s="73">
        <f>Table1[[#This Row],[unique-clicks]] / Table1[[#This Row],[unique-opens]] * 100</f>
        <v>5.9574468085106389</v>
      </c>
      <c r="O234" s="73">
        <f>(MIN(Table1[[#This Row],[unique-opens]]/Table1[[#This Row],[unique-sends]],1)*50
 + MIN(Table1[[#This Row],[unique-clicks]]/Table1[[#This Row],[unique-sends]],1)*50)
 * (1 + MIN(Table1[[#This Row],[unique-clicks]]/Table1[[#This Row],[unique-sends]],1))
 - ((Table1[[#This Row],[unsub]]/Table1[[#This Row],[unique-sends]]*100)*2)</f>
        <v>27.661013570279238</v>
      </c>
      <c r="P234" s="11" t="str">
        <f>IF(Table1[[#This Row],[Engagement Score]]&lt;30,"🔴",IF(Table1[[#This Row],[Engagement Score]]&lt;40,"🟡","🟢"))</f>
        <v>🔴</v>
      </c>
      <c r="Q234" s="23"/>
      <c r="R234" s="23"/>
      <c r="S234" s="23"/>
      <c r="T234" s="26"/>
    </row>
    <row r="235" spans="1:20" ht="32.1" customHeight="1">
      <c r="A235" s="8">
        <v>87</v>
      </c>
      <c r="B235" s="17" t="s">
        <v>222</v>
      </c>
      <c r="C235" s="66">
        <v>45981</v>
      </c>
      <c r="D235" s="80" t="s">
        <v>21</v>
      </c>
      <c r="E235" s="80" t="s">
        <v>22</v>
      </c>
      <c r="F235" s="14" t="s">
        <v>23</v>
      </c>
      <c r="G235" s="8">
        <v>100</v>
      </c>
      <c r="H235" s="8">
        <v>66</v>
      </c>
      <c r="I235" s="6">
        <v>4</v>
      </c>
      <c r="J235" s="8">
        <v>0</v>
      </c>
      <c r="K235" s="71">
        <f>(Table1[[#This Row],[unsub]]/Table1[[#This Row],[unique-sends]])*100</f>
        <v>0</v>
      </c>
      <c r="L235" s="72">
        <f>Table1[[#This Row],[unique-opens]] / Table1[[#This Row],[unique-sends]] * 100</f>
        <v>66</v>
      </c>
      <c r="M235" s="73">
        <f>Table1[[#This Row],[unique-clicks]] / Table1[[#This Row],[unique-sends]] * 100</f>
        <v>4</v>
      </c>
      <c r="N235" s="73">
        <f>Table1[[#This Row],[unique-clicks]] / Table1[[#This Row],[unique-opens]] * 100</f>
        <v>6.0606060606060606</v>
      </c>
      <c r="O235" s="73">
        <f>(MIN(Table1[[#This Row],[unique-opens]]/Table1[[#This Row],[unique-sends]],1)*50
 + MIN(Table1[[#This Row],[unique-clicks]]/Table1[[#This Row],[unique-sends]],1)*50)
 * (1 + MIN(Table1[[#This Row],[unique-clicks]]/Table1[[#This Row],[unique-sends]],1))
 - ((Table1[[#This Row],[unsub]]/Table1[[#This Row],[unique-sends]]*100)*2)</f>
        <v>36.4</v>
      </c>
      <c r="P235" s="11" t="str">
        <f>IF(Table1[[#This Row],[Engagement Score]]&lt;30,"🔴",IF(Table1[[#This Row],[Engagement Score]]&lt;40,"🟡","🟢"))</f>
        <v>🟡</v>
      </c>
      <c r="Q235" s="8" t="s">
        <v>24</v>
      </c>
      <c r="R235" s="8" t="s">
        <v>24</v>
      </c>
      <c r="S235" s="8" t="s">
        <v>24</v>
      </c>
      <c r="T235" s="8" t="s">
        <v>24</v>
      </c>
    </row>
    <row r="236" spans="1:20" ht="32.1" customHeight="1">
      <c r="A236" s="14">
        <v>87</v>
      </c>
      <c r="B236" s="17" t="s">
        <v>222</v>
      </c>
      <c r="C236" s="66">
        <v>45981</v>
      </c>
      <c r="D236" s="80" t="s">
        <v>29</v>
      </c>
      <c r="E236" s="80" t="s">
        <v>22</v>
      </c>
      <c r="F236" s="14" t="s">
        <v>23</v>
      </c>
      <c r="G236" s="16">
        <v>1728</v>
      </c>
      <c r="H236" s="14">
        <v>651</v>
      </c>
      <c r="I236" s="15">
        <v>33</v>
      </c>
      <c r="J236" s="8">
        <v>4</v>
      </c>
      <c r="K236" s="71">
        <f>(Table1[[#This Row],[unsub]]/Table1[[#This Row],[unique-sends]])*100</f>
        <v>0.23148148148148145</v>
      </c>
      <c r="L236" s="72">
        <f>Table1[[#This Row],[unique-opens]] / Table1[[#This Row],[unique-sends]] * 100</f>
        <v>37.673611111111107</v>
      </c>
      <c r="M236" s="73">
        <f>Table1[[#This Row],[unique-clicks]] / Table1[[#This Row],[unique-sends]] * 100</f>
        <v>1.9097222222222223</v>
      </c>
      <c r="N236" s="73">
        <f>Table1[[#This Row],[unique-clicks]] / Table1[[#This Row],[unique-opens]] * 100</f>
        <v>5.0691244239631335</v>
      </c>
      <c r="O236" s="73">
        <f>(MIN(Table1[[#This Row],[unique-opens]]/Table1[[#This Row],[unique-sends]],1)*50
 + MIN(Table1[[#This Row],[unique-clicks]]/Table1[[#This Row],[unique-sends]],1)*50)
 * (1 + MIN(Table1[[#This Row],[unique-clicks]]/Table1[[#This Row],[unique-sends]],1))
 - ((Table1[[#This Row],[unsub]]/Table1[[#This Row],[unique-sends]]*100)*2)</f>
        <v>19.706669560185187</v>
      </c>
      <c r="P236" s="11" t="str">
        <f>IF(Table1[[#This Row],[Engagement Score]]&lt;30,"🔴",IF(Table1[[#This Row],[Engagement Score]]&lt;40,"🟡","🟢"))</f>
        <v>🔴</v>
      </c>
      <c r="Q236" s="8" t="s">
        <v>24</v>
      </c>
      <c r="R236" s="8" t="s">
        <v>24</v>
      </c>
      <c r="S236" s="8" t="s">
        <v>24</v>
      </c>
      <c r="T236" s="8" t="s">
        <v>24</v>
      </c>
    </row>
    <row r="237" spans="1:20" ht="32.1" customHeight="1">
      <c r="A237" s="14">
        <v>51</v>
      </c>
      <c r="B237" s="17" t="s">
        <v>157</v>
      </c>
      <c r="C237" s="66">
        <v>45962</v>
      </c>
      <c r="D237" s="80" t="s">
        <v>21</v>
      </c>
      <c r="E237" s="80" t="s">
        <v>22</v>
      </c>
      <c r="F237" s="9" t="s">
        <v>23</v>
      </c>
      <c r="G237" s="14">
        <v>933</v>
      </c>
      <c r="H237" s="14">
        <v>564</v>
      </c>
      <c r="I237" s="15">
        <v>31</v>
      </c>
      <c r="J237" s="14">
        <v>3</v>
      </c>
      <c r="K237" s="71">
        <f>(Table1[[#This Row],[unsub]]/Table1[[#This Row],[unique-sends]])*100</f>
        <v>0.32154340836012862</v>
      </c>
      <c r="L237" s="72">
        <f>Table1[[#This Row],[unique-opens]] / Table1[[#This Row],[unique-sends]] * 100</f>
        <v>60.450160771704176</v>
      </c>
      <c r="M237" s="73">
        <f>Table1[[#This Row],[unique-clicks]] / Table1[[#This Row],[unique-sends]] * 100</f>
        <v>3.322615219721329</v>
      </c>
      <c r="N237" s="73">
        <f>Table1[[#This Row],[unique-clicks]] / Table1[[#This Row],[unique-opens]] * 100</f>
        <v>5.4964539007092199</v>
      </c>
      <c r="O237" s="73">
        <f>(MIN(Table1[[#This Row],[unique-opens]]/Table1[[#This Row],[unique-sends]],1)*50
 + MIN(Table1[[#This Row],[unique-clicks]]/Table1[[#This Row],[unique-sends]],1)*50)
 * (1 + MIN(Table1[[#This Row],[unique-clicks]]/Table1[[#This Row],[unique-sends]],1))
 - ((Table1[[#This Row],[unsub]]/Table1[[#This Row],[unique-sends]]*100)*2)</f>
        <v>32.302763159557443</v>
      </c>
      <c r="P237" s="11" t="str">
        <f>IF(Table1[[#This Row],[Engagement Score]]&lt;30,"🔴",IF(Table1[[#This Row],[Engagement Score]]&lt;40,"🟡","🟢"))</f>
        <v>🟡</v>
      </c>
      <c r="Q237" s="8">
        <v>0</v>
      </c>
      <c r="R237" s="8">
        <v>0</v>
      </c>
      <c r="S237" s="8">
        <v>0</v>
      </c>
      <c r="T237" s="14" t="s">
        <v>24</v>
      </c>
    </row>
    <row r="238" spans="1:20" ht="32.1" customHeight="1">
      <c r="A238" s="14">
        <v>53</v>
      </c>
      <c r="B238" s="21" t="s">
        <v>158</v>
      </c>
      <c r="C238" s="66">
        <v>45962</v>
      </c>
      <c r="D238" s="79" t="s">
        <v>29</v>
      </c>
      <c r="E238" s="78" t="s">
        <v>22</v>
      </c>
      <c r="F238" s="9" t="s">
        <v>23</v>
      </c>
      <c r="G238" s="14">
        <v>105</v>
      </c>
      <c r="H238" s="14">
        <v>72</v>
      </c>
      <c r="I238" s="15">
        <v>6</v>
      </c>
      <c r="J238" s="14">
        <v>0</v>
      </c>
      <c r="K238" s="71">
        <f>(Table1[[#This Row],[unsub]]/Table1[[#This Row],[unique-sends]])*100</f>
        <v>0</v>
      </c>
      <c r="L238" s="72">
        <f>Table1[[#This Row],[unique-opens]] / Table1[[#This Row],[unique-sends]] * 100</f>
        <v>68.571428571428569</v>
      </c>
      <c r="M238" s="73">
        <f>Table1[[#This Row],[unique-clicks]] / Table1[[#This Row],[unique-sends]] * 100</f>
        <v>5.7142857142857144</v>
      </c>
      <c r="N238" s="73">
        <f>Table1[[#This Row],[unique-clicks]] / Table1[[#This Row],[unique-opens]] * 100</f>
        <v>8.3333333333333321</v>
      </c>
      <c r="O238" s="73">
        <f>(MIN(Table1[[#This Row],[unique-opens]]/Table1[[#This Row],[unique-sends]],1)*50
 + MIN(Table1[[#This Row],[unique-clicks]]/Table1[[#This Row],[unique-sends]],1)*50)
 * (1 + MIN(Table1[[#This Row],[unique-clicks]]/Table1[[#This Row],[unique-sends]],1))
 - ((Table1[[#This Row],[unsub]]/Table1[[#This Row],[unique-sends]]*100)*2)</f>
        <v>39.265306122448976</v>
      </c>
      <c r="P238" s="11" t="str">
        <f>IF(Table1[[#This Row],[Engagement Score]]&lt;30,"🔴",IF(Table1[[#This Row],[Engagement Score]]&lt;40,"🟡","🟢"))</f>
        <v>🟡</v>
      </c>
      <c r="Q238" s="14">
        <v>0</v>
      </c>
      <c r="R238" s="14">
        <v>0</v>
      </c>
      <c r="S238" s="14">
        <v>0</v>
      </c>
      <c r="T238" s="14" t="s">
        <v>24</v>
      </c>
    </row>
    <row r="239" spans="1:20" ht="32.1" customHeight="1">
      <c r="A239" s="8">
        <v>30</v>
      </c>
      <c r="B239" s="17" t="s">
        <v>223</v>
      </c>
      <c r="C239" s="66">
        <v>45965</v>
      </c>
      <c r="D239" s="79" t="s">
        <v>29</v>
      </c>
      <c r="E239" s="79" t="s">
        <v>26</v>
      </c>
      <c r="F239" s="9" t="s">
        <v>27</v>
      </c>
      <c r="G239" s="10">
        <v>1963</v>
      </c>
      <c r="H239" s="8">
        <v>1324</v>
      </c>
      <c r="I239" s="6">
        <v>90</v>
      </c>
      <c r="J239" s="8">
        <v>1</v>
      </c>
      <c r="K239" s="71">
        <f>(Table1[[#This Row],[unsub]]/Table1[[#This Row],[unique-sends]])*100</f>
        <v>5.094243504839531E-2</v>
      </c>
      <c r="L239" s="72">
        <f>Table1[[#This Row],[unique-opens]] / Table1[[#This Row],[unique-sends]] * 100</f>
        <v>67.447784004075402</v>
      </c>
      <c r="M239" s="73">
        <f>Table1[[#This Row],[unique-clicks]] / Table1[[#This Row],[unique-sends]] * 100</f>
        <v>4.5848191543555776</v>
      </c>
      <c r="N239" s="73">
        <f>Table1[[#This Row],[unique-clicks]] / Table1[[#This Row],[unique-opens]] * 100</f>
        <v>6.7975830815709974</v>
      </c>
      <c r="O239" s="73">
        <f>(MIN(Table1[[#This Row],[unique-opens]]/Table1[[#This Row],[unique-sends]],1)*50
 + MIN(Table1[[#This Row],[unique-clicks]]/Table1[[#This Row],[unique-sends]],1)*50)
 * (1 + MIN(Table1[[#This Row],[unique-clicks]]/Table1[[#This Row],[unique-sends]],1))
 - ((Table1[[#This Row],[unsub]]/Table1[[#This Row],[unique-sends]]*100)*2)</f>
        <v>37.565699002613037</v>
      </c>
      <c r="P239" s="11" t="str">
        <f>IF(Table1[[#This Row],[Engagement Score]]&lt;30,"🔴",IF(Table1[[#This Row],[Engagement Score]]&lt;40,"🟡","🟢"))</f>
        <v>🟡</v>
      </c>
      <c r="Q239" s="8" t="s">
        <v>24</v>
      </c>
      <c r="R239" s="8" t="s">
        <v>24</v>
      </c>
      <c r="S239" s="8" t="s">
        <v>24</v>
      </c>
      <c r="T239" s="8" t="s">
        <v>24</v>
      </c>
    </row>
    <row r="240" spans="1:20" ht="32.1" customHeight="1">
      <c r="A240" s="8">
        <v>30</v>
      </c>
      <c r="B240" s="17" t="s">
        <v>223</v>
      </c>
      <c r="C240" s="65">
        <v>45965</v>
      </c>
      <c r="D240" s="79" t="s">
        <v>21</v>
      </c>
      <c r="E240" s="79" t="s">
        <v>26</v>
      </c>
      <c r="F240" s="8" t="s">
        <v>27</v>
      </c>
      <c r="G240" s="10">
        <v>7911</v>
      </c>
      <c r="H240" s="8">
        <v>4590</v>
      </c>
      <c r="I240" s="6">
        <v>196</v>
      </c>
      <c r="J240" s="8">
        <v>0</v>
      </c>
      <c r="K240" s="71">
        <f>(Table1[[#This Row],[unsub]]/Table1[[#This Row],[unique-sends]])*100</f>
        <v>0</v>
      </c>
      <c r="L240" s="72">
        <f>Table1[[#This Row],[unique-opens]] / Table1[[#This Row],[unique-sends]] * 100</f>
        <v>58.020477815699657</v>
      </c>
      <c r="M240" s="73">
        <f>Table1[[#This Row],[unique-clicks]] / Table1[[#This Row],[unique-sends]] * 100</f>
        <v>2.477562887119201</v>
      </c>
      <c r="N240" s="73">
        <f>Table1[[#This Row],[unique-clicks]] / Table1[[#This Row],[unique-opens]] * 100</f>
        <v>4.2701525054466236</v>
      </c>
      <c r="O240" s="73">
        <f>(MIN(Table1[[#This Row],[unique-opens]]/Table1[[#This Row],[unique-sends]],1)*50
 + MIN(Table1[[#This Row],[unique-clicks]]/Table1[[#This Row],[unique-sends]],1)*50)
 * (1 + MIN(Table1[[#This Row],[unique-clicks]]/Table1[[#This Row],[unique-sends]],1))
 - ((Table1[[#This Row],[unsub]]/Table1[[#This Row],[unique-sends]]*100)*2)</f>
        <v>30.998458853353082</v>
      </c>
      <c r="P240" s="11" t="str">
        <f>IF(Table1[[#This Row],[Engagement Score]]&lt;30,"🔴",IF(Table1[[#This Row],[Engagement Score]]&lt;40,"🟡","🟢"))</f>
        <v>🟡</v>
      </c>
      <c r="Q240" s="8" t="s">
        <v>24</v>
      </c>
      <c r="R240" s="8" t="s">
        <v>24</v>
      </c>
      <c r="S240" s="8" t="s">
        <v>24</v>
      </c>
      <c r="T240" s="8" t="s">
        <v>24</v>
      </c>
    </row>
    <row r="241" spans="1:20" ht="32.1" customHeight="1">
      <c r="A241" s="8">
        <v>85</v>
      </c>
      <c r="B241" s="17" t="s">
        <v>224</v>
      </c>
      <c r="C241" s="65">
        <v>45964</v>
      </c>
      <c r="D241" s="79" t="s">
        <v>29</v>
      </c>
      <c r="E241" s="79" t="s">
        <v>98</v>
      </c>
      <c r="F241" s="8" t="s">
        <v>27</v>
      </c>
      <c r="G241" s="10">
        <v>10621</v>
      </c>
      <c r="H241" s="8">
        <v>5086</v>
      </c>
      <c r="I241" s="6">
        <v>172</v>
      </c>
      <c r="J241" s="8">
        <v>4</v>
      </c>
      <c r="K241" s="71">
        <f>(Table1[[#This Row],[unsub]]/Table1[[#This Row],[unique-sends]])*100</f>
        <v>3.766123717164109E-2</v>
      </c>
      <c r="L241" s="72">
        <f>Table1[[#This Row],[unique-opens]] / Table1[[#This Row],[unique-sends]] * 100</f>
        <v>47.886263063741644</v>
      </c>
      <c r="M241" s="73">
        <f>Table1[[#This Row],[unique-clicks]] / Table1[[#This Row],[unique-sends]] * 100</f>
        <v>1.6194331983805668</v>
      </c>
      <c r="N241" s="73">
        <f>Table1[[#This Row],[unique-clicks]] / Table1[[#This Row],[unique-opens]] * 100</f>
        <v>3.3818324813212746</v>
      </c>
      <c r="O241" s="73">
        <f>(MIN(Table1[[#This Row],[unique-opens]]/Table1[[#This Row],[unique-sends]],1)*50
 + MIN(Table1[[#This Row],[unique-clicks]]/Table1[[#This Row],[unique-sends]],1)*50)
 * (1 + MIN(Table1[[#This Row],[unique-clicks]]/Table1[[#This Row],[unique-sends]],1))
 - ((Table1[[#This Row],[unsub]]/Table1[[#This Row],[unique-sends]]*100)*2)</f>
        <v>25.078381496896952</v>
      </c>
      <c r="P241" s="11" t="str">
        <f>IF(Table1[[#This Row],[Engagement Score]]&lt;30,"🔴",IF(Table1[[#This Row],[Engagement Score]]&lt;40,"🟡","🟢"))</f>
        <v>🔴</v>
      </c>
      <c r="Q241" s="8" t="s">
        <v>24</v>
      </c>
      <c r="R241" s="8" t="s">
        <v>24</v>
      </c>
      <c r="S241" s="8" t="s">
        <v>24</v>
      </c>
      <c r="T241" s="8" t="s">
        <v>24</v>
      </c>
    </row>
    <row r="242" spans="1:20" ht="32.1" customHeight="1">
      <c r="A242" s="8">
        <v>84</v>
      </c>
      <c r="B242" s="17" t="s">
        <v>225</v>
      </c>
      <c r="C242" s="65">
        <v>45964</v>
      </c>
      <c r="D242" s="80" t="s">
        <v>21</v>
      </c>
      <c r="E242" s="80" t="s">
        <v>98</v>
      </c>
      <c r="F242" s="8" t="s">
        <v>27</v>
      </c>
      <c r="G242" s="16">
        <v>42458</v>
      </c>
      <c r="H242" s="14">
        <v>18780</v>
      </c>
      <c r="I242" s="15">
        <v>925</v>
      </c>
      <c r="J242" s="8">
        <v>41</v>
      </c>
      <c r="K242" s="71">
        <f>(Table1[[#This Row],[unsub]]/Table1[[#This Row],[unique-sends]])*100</f>
        <v>9.6566018182674643E-2</v>
      </c>
      <c r="L242" s="72">
        <f>Table1[[#This Row],[unique-opens]] / Table1[[#This Row],[unique-sends]] * 100</f>
        <v>44.23194686513731</v>
      </c>
      <c r="M242" s="73">
        <f>Table1[[#This Row],[unique-clicks]] / Table1[[#This Row],[unique-sends]] * 100</f>
        <v>2.1786235809505867</v>
      </c>
      <c r="N242" s="73">
        <f>Table1[[#This Row],[unique-clicks]] / Table1[[#This Row],[unique-opens]] * 100</f>
        <v>4.925452609158679</v>
      </c>
      <c r="O242" s="73">
        <f>(MIN(Table1[[#This Row],[unique-opens]]/Table1[[#This Row],[unique-sends]],1)*50
 + MIN(Table1[[#This Row],[unique-clicks]]/Table1[[#This Row],[unique-sends]],1)*50)
 * (1 + MIN(Table1[[#This Row],[unique-clicks]]/Table1[[#This Row],[unique-sends]],1))
 - ((Table1[[#This Row],[unsub]]/Table1[[#This Row],[unique-sends]]*100)*2)</f>
        <v>23.517709002574676</v>
      </c>
      <c r="P242" s="11" t="str">
        <f>IF(Table1[[#This Row],[Engagement Score]]&lt;30,"🔴",IF(Table1[[#This Row],[Engagement Score]]&lt;40,"🟡","🟢"))</f>
        <v>🔴</v>
      </c>
      <c r="Q242" s="8" t="s">
        <v>24</v>
      </c>
      <c r="R242" s="8" t="s">
        <v>24</v>
      </c>
      <c r="S242" s="8" t="s">
        <v>24</v>
      </c>
      <c r="T242" s="8" t="s">
        <v>24</v>
      </c>
    </row>
    <row r="243" spans="1:20" ht="32.1" customHeight="1">
      <c r="A243" s="8">
        <v>84</v>
      </c>
      <c r="B243" s="17" t="s">
        <v>226</v>
      </c>
      <c r="C243" s="65">
        <v>45964</v>
      </c>
      <c r="D243" s="80" t="s">
        <v>21</v>
      </c>
      <c r="E243" s="80" t="s">
        <v>98</v>
      </c>
      <c r="F243" s="8" t="s">
        <v>27</v>
      </c>
      <c r="G243" s="16">
        <v>47621</v>
      </c>
      <c r="H243" s="14">
        <v>17998</v>
      </c>
      <c r="I243" s="15">
        <v>316</v>
      </c>
      <c r="J243" s="8">
        <v>85</v>
      </c>
      <c r="K243" s="71">
        <f>(Table1[[#This Row],[unsub]]/Table1[[#This Row],[unique-sends]])*100</f>
        <v>0.17849268180004618</v>
      </c>
      <c r="L243" s="72">
        <f>Table1[[#This Row],[unique-opens]] / Table1[[#This Row],[unique-sends]] * 100</f>
        <v>37.794250435732138</v>
      </c>
      <c r="M243" s="73">
        <f>Table1[[#This Row],[unique-clicks]] / Table1[[#This Row],[unique-sends]] * 100</f>
        <v>0.66357279351546583</v>
      </c>
      <c r="N243" s="73">
        <f>Table1[[#This Row],[unique-clicks]] / Table1[[#This Row],[unique-opens]] * 100</f>
        <v>1.7557506389598843</v>
      </c>
      <c r="O243" s="73">
        <f>(MIN(Table1[[#This Row],[unique-opens]]/Table1[[#This Row],[unique-sends]],1)*50
 + MIN(Table1[[#This Row],[unique-clicks]]/Table1[[#This Row],[unique-sends]],1)*50)
 * (1 + MIN(Table1[[#This Row],[unique-clicks]]/Table1[[#This Row],[unique-sends]],1))
 - ((Table1[[#This Row],[unsub]]/Table1[[#This Row],[unique-sends]]*100)*2)</f>
        <v>18.999524076987491</v>
      </c>
      <c r="P243" s="11" t="str">
        <f>IF(Table1[[#This Row],[Engagement Score]]&lt;30,"🔴",IF(Table1[[#This Row],[Engagement Score]]&lt;40,"🟡","🟢"))</f>
        <v>🔴</v>
      </c>
      <c r="Q243" s="8" t="s">
        <v>24</v>
      </c>
      <c r="R243" s="8" t="s">
        <v>24</v>
      </c>
      <c r="S243" s="8" t="s">
        <v>24</v>
      </c>
      <c r="T243" s="8" t="s">
        <v>24</v>
      </c>
    </row>
    <row r="244" spans="1:20" ht="32.1" customHeight="1">
      <c r="A244" s="8">
        <v>89</v>
      </c>
      <c r="B244" s="17" t="s">
        <v>227</v>
      </c>
      <c r="C244" s="65">
        <v>45966</v>
      </c>
      <c r="D244" s="80" t="s">
        <v>21</v>
      </c>
      <c r="E244" s="78" t="s">
        <v>22</v>
      </c>
      <c r="F244" s="8" t="s">
        <v>27</v>
      </c>
      <c r="G244" s="10">
        <v>70457</v>
      </c>
      <c r="H244" s="8">
        <v>35728</v>
      </c>
      <c r="I244" s="6">
        <v>1315</v>
      </c>
      <c r="J244" s="8">
        <v>106</v>
      </c>
      <c r="K244" s="71">
        <f>(Table1[[#This Row],[unsub]]/Table1[[#This Row],[unique-sends]])*100</f>
        <v>0.15044637154576551</v>
      </c>
      <c r="L244" s="72">
        <f>Table1[[#This Row],[unique-opens]] / Table1[[#This Row],[unique-sends]] * 100</f>
        <v>50.708943043274623</v>
      </c>
      <c r="M244" s="73">
        <f>Table1[[#This Row],[unique-clicks]] / Table1[[#This Row],[unique-sends]] * 100</f>
        <v>1.8663865904026571</v>
      </c>
      <c r="N244" s="73">
        <f>Table1[[#This Row],[unique-clicks]] / Table1[[#This Row],[unique-opens]] * 100</f>
        <v>3.680586654724586</v>
      </c>
      <c r="O244" s="73">
        <f>(MIN(Table1[[#This Row],[unique-opens]]/Table1[[#This Row],[unique-sends]],1)*50
 + MIN(Table1[[#This Row],[unique-clicks]]/Table1[[#This Row],[unique-sends]],1)*50)
 * (1 + MIN(Table1[[#This Row],[unique-clicks]]/Table1[[#This Row],[unique-sends]],1))
 - ((Table1[[#This Row],[unsub]]/Table1[[#This Row],[unique-sends]]*100)*2)</f>
        <v>26.477401524818582</v>
      </c>
      <c r="P244" s="11" t="str">
        <f>IF(Table1[[#This Row],[Engagement Score]]&lt;30,"🔴",IF(Table1[[#This Row],[Engagement Score]]&lt;40,"🟡","🟢"))</f>
        <v>🔴</v>
      </c>
      <c r="Q244" s="8">
        <v>82.4</v>
      </c>
      <c r="R244" s="8">
        <v>11.9</v>
      </c>
      <c r="S244" s="8">
        <v>5.7</v>
      </c>
      <c r="T244" s="18" t="s">
        <v>228</v>
      </c>
    </row>
    <row r="245" spans="1:20" ht="32.1" customHeight="1">
      <c r="A245" s="8">
        <v>89</v>
      </c>
      <c r="B245" s="17" t="s">
        <v>229</v>
      </c>
      <c r="C245" s="65">
        <v>45966</v>
      </c>
      <c r="D245" s="80" t="s">
        <v>21</v>
      </c>
      <c r="E245" s="78" t="s">
        <v>22</v>
      </c>
      <c r="F245" s="8" t="s">
        <v>27</v>
      </c>
      <c r="G245" s="16">
        <v>67700</v>
      </c>
      <c r="H245" s="14">
        <v>37029</v>
      </c>
      <c r="I245" s="15">
        <v>871</v>
      </c>
      <c r="J245" s="8">
        <v>122</v>
      </c>
      <c r="K245" s="71">
        <f>(Table1[[#This Row],[unsub]]/Table1[[#This Row],[unique-sends]])*100</f>
        <v>0.18020679468242246</v>
      </c>
      <c r="L245" s="72">
        <f>Table1[[#This Row],[unique-opens]] / Table1[[#This Row],[unique-sends]] * 100</f>
        <v>54.695716395864103</v>
      </c>
      <c r="M245" s="73">
        <f>Table1[[#This Row],[unique-clicks]] / Table1[[#This Row],[unique-sends]] * 100</f>
        <v>1.2865583456425407</v>
      </c>
      <c r="N245" s="73">
        <f>Table1[[#This Row],[unique-clicks]] / Table1[[#This Row],[unique-opens]] * 100</f>
        <v>2.3522104296632369</v>
      </c>
      <c r="O245" s="73">
        <f>(MIN(Table1[[#This Row],[unique-opens]]/Table1[[#This Row],[unique-sends]],1)*50
 + MIN(Table1[[#This Row],[unique-clicks]]/Table1[[#This Row],[unique-sends]],1)*50)
 * (1 + MIN(Table1[[#This Row],[unique-clicks]]/Table1[[#This Row],[unique-sends]],1))
 - ((Table1[[#This Row],[unsub]]/Table1[[#This Row],[unique-sends]]*100)*2)</f>
        <v>27.990846095272168</v>
      </c>
      <c r="P245" s="11" t="str">
        <f>IF(Table1[[#This Row],[Engagement Score]]&lt;30,"🔴",IF(Table1[[#This Row],[Engagement Score]]&lt;40,"🟡","🟢"))</f>
        <v>🔴</v>
      </c>
      <c r="Q245" s="8">
        <v>76.8</v>
      </c>
      <c r="R245" s="8">
        <v>13</v>
      </c>
      <c r="S245" s="8">
        <v>10.199999999999999</v>
      </c>
      <c r="T245" s="18" t="s">
        <v>228</v>
      </c>
    </row>
    <row r="246" spans="1:20" ht="32.1" customHeight="1">
      <c r="A246" s="8">
        <v>89</v>
      </c>
      <c r="B246" s="17" t="s">
        <v>230</v>
      </c>
      <c r="C246" s="65">
        <v>45966</v>
      </c>
      <c r="D246" s="80" t="s">
        <v>21</v>
      </c>
      <c r="E246" s="78" t="s">
        <v>22</v>
      </c>
      <c r="F246" s="8" t="s">
        <v>27</v>
      </c>
      <c r="G246" s="16">
        <v>61439</v>
      </c>
      <c r="H246" s="14">
        <v>37004</v>
      </c>
      <c r="I246" s="15">
        <v>646</v>
      </c>
      <c r="J246" s="8">
        <v>99</v>
      </c>
      <c r="K246" s="71">
        <f>(Table1[[#This Row],[unsub]]/Table1[[#This Row],[unique-sends]])*100</f>
        <v>0.16113543514705642</v>
      </c>
      <c r="L246" s="72">
        <f>Table1[[#This Row],[unique-opens]] / Table1[[#This Row],[unique-sends]] * 100</f>
        <v>60.228844870521982</v>
      </c>
      <c r="M246" s="73">
        <f>Table1[[#This Row],[unique-clicks]] / Table1[[#This Row],[unique-sends]] * 100</f>
        <v>1.0514494051009946</v>
      </c>
      <c r="N246" s="73">
        <f>Table1[[#This Row],[unique-clicks]] / Table1[[#This Row],[unique-opens]] * 100</f>
        <v>1.7457572154361691</v>
      </c>
      <c r="O246" s="73">
        <f>(MIN(Table1[[#This Row],[unique-opens]]/Table1[[#This Row],[unique-sends]],1)*50
 + MIN(Table1[[#This Row],[unique-clicks]]/Table1[[#This Row],[unique-sends]],1)*50)
 * (1 + MIN(Table1[[#This Row],[unique-clicks]]/Table1[[#This Row],[unique-sends]],1))
 - ((Table1[[#This Row],[unsub]]/Table1[[#This Row],[unique-sends]]*100)*2)</f>
        <v>30.640041912319969</v>
      </c>
      <c r="P246" s="11" t="str">
        <f>IF(Table1[[#This Row],[Engagement Score]]&lt;30,"🔴",IF(Table1[[#This Row],[Engagement Score]]&lt;40,"🟡","🟢"))</f>
        <v>🟡</v>
      </c>
      <c r="Q246" s="8">
        <v>60.8</v>
      </c>
      <c r="R246" s="8">
        <v>17.600000000000001</v>
      </c>
      <c r="S246" s="8">
        <v>21.6</v>
      </c>
      <c r="T246" s="18" t="s">
        <v>228</v>
      </c>
    </row>
    <row r="247" spans="1:20" ht="32.1" customHeight="1">
      <c r="A247" s="8">
        <v>89</v>
      </c>
      <c r="B247" s="17" t="s">
        <v>231</v>
      </c>
      <c r="C247" s="65">
        <v>45966</v>
      </c>
      <c r="D247" s="80" t="s">
        <v>21</v>
      </c>
      <c r="E247" s="78" t="s">
        <v>22</v>
      </c>
      <c r="F247" s="8" t="s">
        <v>27</v>
      </c>
      <c r="G247" s="16">
        <v>15761</v>
      </c>
      <c r="H247" s="14">
        <v>9423</v>
      </c>
      <c r="I247" s="15">
        <v>143</v>
      </c>
      <c r="J247" s="8">
        <v>18</v>
      </c>
      <c r="K247" s="71">
        <f>(Table1[[#This Row],[unsub]]/Table1[[#This Row],[unique-sends]])*100</f>
        <v>0.1142059513990229</v>
      </c>
      <c r="L247" s="72">
        <f>Table1[[#This Row],[unique-opens]] / Table1[[#This Row],[unique-sends]] * 100</f>
        <v>59.786815557388493</v>
      </c>
      <c r="M247" s="73">
        <f>Table1[[#This Row],[unique-clicks]] / Table1[[#This Row],[unique-sends]] * 100</f>
        <v>0.90730283611445972</v>
      </c>
      <c r="N247" s="73">
        <f>Table1[[#This Row],[unique-clicks]] / Table1[[#This Row],[unique-opens]] * 100</f>
        <v>1.5175634086808871</v>
      </c>
      <c r="O247" s="73">
        <f>(MIN(Table1[[#This Row],[unique-opens]]/Table1[[#This Row],[unique-sends]],1)*50
 + MIN(Table1[[#This Row],[unique-clicks]]/Table1[[#This Row],[unique-sends]],1)*50)
 * (1 + MIN(Table1[[#This Row],[unique-clicks]]/Table1[[#This Row],[unique-sends]],1))
 - ((Table1[[#This Row],[unsub]]/Table1[[#This Row],[unique-sends]]*100)*2)</f>
        <v>30.393987022722893</v>
      </c>
      <c r="P247" s="11" t="str">
        <f>IF(Table1[[#This Row],[Engagement Score]]&lt;30,"🔴",IF(Table1[[#This Row],[Engagement Score]]&lt;40,"🟡","🟢"))</f>
        <v>🟡</v>
      </c>
      <c r="Q247" s="8">
        <v>64.099999999999994</v>
      </c>
      <c r="R247" s="8">
        <v>14.1</v>
      </c>
      <c r="S247" s="8">
        <v>21.8</v>
      </c>
      <c r="T247" s="18" t="s">
        <v>228</v>
      </c>
    </row>
    <row r="248" spans="1:20" ht="32.1" customHeight="1">
      <c r="A248" s="8">
        <v>31</v>
      </c>
      <c r="B248" s="17" t="s">
        <v>232</v>
      </c>
      <c r="C248" s="65">
        <v>45968</v>
      </c>
      <c r="D248" s="79" t="s">
        <v>21</v>
      </c>
      <c r="E248" s="79" t="s">
        <v>26</v>
      </c>
      <c r="F248" s="8" t="s">
        <v>27</v>
      </c>
      <c r="G248" s="8">
        <v>834</v>
      </c>
      <c r="H248" s="8">
        <v>565</v>
      </c>
      <c r="I248" s="6">
        <v>23</v>
      </c>
      <c r="J248" s="8">
        <v>0</v>
      </c>
      <c r="K248" s="71">
        <f>(Table1[[#This Row],[unsub]]/Table1[[#This Row],[unique-sends]])*100</f>
        <v>0</v>
      </c>
      <c r="L248" s="72">
        <f>Table1[[#This Row],[unique-opens]] / Table1[[#This Row],[unique-sends]] * 100</f>
        <v>67.745803357314145</v>
      </c>
      <c r="M248" s="73">
        <f>Table1[[#This Row],[unique-clicks]] / Table1[[#This Row],[unique-sends]] * 100</f>
        <v>2.7577937649880093</v>
      </c>
      <c r="N248" s="73">
        <f>Table1[[#This Row],[unique-clicks]] / Table1[[#This Row],[unique-opens]] * 100</f>
        <v>4.0707964601769913</v>
      </c>
      <c r="O248" s="73">
        <f>(MIN(Table1[[#This Row],[unique-opens]]/Table1[[#This Row],[unique-sends]],1)*50
 + MIN(Table1[[#This Row],[unique-clicks]]/Table1[[#This Row],[unique-sends]],1)*50)
 * (1 + MIN(Table1[[#This Row],[unique-clicks]]/Table1[[#This Row],[unique-sends]],1))
 - ((Table1[[#This Row],[unsub]]/Table1[[#This Row],[unique-sends]]*100)*2)</f>
        <v>36.223970463916636</v>
      </c>
      <c r="P248" s="11" t="str">
        <f>IF(Table1[[#This Row],[Engagement Score]]&lt;30,"🔴",IF(Table1[[#This Row],[Engagement Score]]&lt;40,"🟡","🟢"))</f>
        <v>🟡</v>
      </c>
      <c r="Q248" s="8" t="s">
        <v>24</v>
      </c>
      <c r="R248" s="8" t="s">
        <v>24</v>
      </c>
      <c r="S248" s="8" t="s">
        <v>24</v>
      </c>
      <c r="T248" s="8" t="s">
        <v>24</v>
      </c>
    </row>
    <row r="249" spans="1:20" ht="32.1" customHeight="1">
      <c r="A249" s="8">
        <v>90</v>
      </c>
      <c r="B249" s="17" t="s">
        <v>233</v>
      </c>
      <c r="C249" s="65">
        <v>45973</v>
      </c>
      <c r="D249" s="80" t="s">
        <v>21</v>
      </c>
      <c r="E249" s="78" t="s">
        <v>22</v>
      </c>
      <c r="F249" s="8" t="s">
        <v>27</v>
      </c>
      <c r="G249" s="10">
        <v>6689</v>
      </c>
      <c r="H249" s="8">
        <v>4328</v>
      </c>
      <c r="I249" s="6">
        <v>966</v>
      </c>
      <c r="J249" s="8">
        <v>2</v>
      </c>
      <c r="K249" s="71">
        <f>(Table1[[#This Row],[unsub]]/Table1[[#This Row],[unique-sends]])*100</f>
        <v>2.9899835550904471E-2</v>
      </c>
      <c r="L249" s="72">
        <f>Table1[[#This Row],[unique-opens]] / Table1[[#This Row],[unique-sends]] * 100</f>
        <v>64.70324413215728</v>
      </c>
      <c r="M249" s="73">
        <f>Table1[[#This Row],[unique-clicks]] / Table1[[#This Row],[unique-sends]] * 100</f>
        <v>14.441620571086858</v>
      </c>
      <c r="N249" s="73">
        <f>Table1[[#This Row],[unique-clicks]] / Table1[[#This Row],[unique-opens]] * 100</f>
        <v>22.31977818853974</v>
      </c>
      <c r="O249" s="73">
        <f>(MIN(Table1[[#This Row],[unique-opens]]/Table1[[#This Row],[unique-sends]],1)*50
 + MIN(Table1[[#This Row],[unique-clicks]]/Table1[[#This Row],[unique-sends]],1)*50)
 * (1 + MIN(Table1[[#This Row],[unique-clicks]]/Table1[[#This Row],[unique-sends]],1))
 - ((Table1[[#This Row],[unsub]]/Table1[[#This Row],[unique-sends]]*100)*2)</f>
        <v>45.227533211491547</v>
      </c>
      <c r="P249" s="11" t="str">
        <f>IF(Table1[[#This Row],[Engagement Score]]&lt;30,"🔴",IF(Table1[[#This Row],[Engagement Score]]&lt;40,"🟡","🟢"))</f>
        <v>🟢</v>
      </c>
      <c r="Q249" s="8">
        <v>79.5</v>
      </c>
      <c r="R249" s="8">
        <v>12.1</v>
      </c>
      <c r="S249" s="8">
        <v>8.4</v>
      </c>
      <c r="T249" s="18" t="s">
        <v>234</v>
      </c>
    </row>
    <row r="250" spans="1:20" ht="32.1" customHeight="1">
      <c r="A250" s="8">
        <v>90</v>
      </c>
      <c r="B250" s="17" t="s">
        <v>235</v>
      </c>
      <c r="C250" s="65">
        <v>45973</v>
      </c>
      <c r="D250" s="80" t="s">
        <v>21</v>
      </c>
      <c r="E250" s="78" t="s">
        <v>22</v>
      </c>
      <c r="F250" s="8" t="s">
        <v>27</v>
      </c>
      <c r="G250" s="10">
        <v>6530</v>
      </c>
      <c r="H250" s="8">
        <v>4360</v>
      </c>
      <c r="I250" s="6">
        <v>974</v>
      </c>
      <c r="J250" s="8">
        <v>4</v>
      </c>
      <c r="K250" s="71">
        <f>(Table1[[#This Row],[unsub]]/Table1[[#This Row],[unique-sends]])*100</f>
        <v>6.1255742725880552E-2</v>
      </c>
      <c r="L250" s="72">
        <f>Table1[[#This Row],[unique-opens]] / Table1[[#This Row],[unique-sends]] * 100</f>
        <v>66.768759571209799</v>
      </c>
      <c r="M250" s="73">
        <f>Table1[[#This Row],[unique-clicks]] / Table1[[#This Row],[unique-sends]] * 100</f>
        <v>14.915773353751916</v>
      </c>
      <c r="N250" s="73">
        <f>Table1[[#This Row],[unique-clicks]] / Table1[[#This Row],[unique-opens]] * 100</f>
        <v>22.339449541284402</v>
      </c>
      <c r="O250" s="73">
        <f>(MIN(Table1[[#This Row],[unique-opens]]/Table1[[#This Row],[unique-sends]],1)*50
 + MIN(Table1[[#This Row],[unique-clicks]]/Table1[[#This Row],[unique-sends]],1)*50)
 * (1 + MIN(Table1[[#This Row],[unique-clicks]]/Table1[[#This Row],[unique-sends]],1))
 - ((Table1[[#This Row],[unsub]]/Table1[[#This Row],[unique-sends]]*100)*2)</f>
        <v>46.811694875108174</v>
      </c>
      <c r="P250" s="11" t="str">
        <f>IF(Table1[[#This Row],[Engagement Score]]&lt;30,"🔴",IF(Table1[[#This Row],[Engagement Score]]&lt;40,"🟡","🟢"))</f>
        <v>🟢</v>
      </c>
      <c r="Q250" s="8">
        <v>80.2</v>
      </c>
      <c r="R250" s="8">
        <v>14.7</v>
      </c>
      <c r="S250" s="8">
        <v>5.0999999999999996</v>
      </c>
      <c r="T250" s="18" t="s">
        <v>236</v>
      </c>
    </row>
    <row r="251" spans="1:20" ht="32.1" customHeight="1">
      <c r="A251" s="8">
        <v>30</v>
      </c>
      <c r="B251" s="17" t="s">
        <v>237</v>
      </c>
      <c r="C251" s="65">
        <v>45980</v>
      </c>
      <c r="D251" s="79" t="s">
        <v>29</v>
      </c>
      <c r="E251" s="79" t="s">
        <v>26</v>
      </c>
      <c r="F251" s="9" t="s">
        <v>27</v>
      </c>
      <c r="G251" s="8">
        <v>363</v>
      </c>
      <c r="H251" s="8">
        <v>229</v>
      </c>
      <c r="I251" s="6">
        <v>14</v>
      </c>
      <c r="J251" s="8">
        <v>0</v>
      </c>
      <c r="K251" s="71">
        <f>(Table1[[#This Row],[unsub]]/Table1[[#This Row],[unique-sends]])*100</f>
        <v>0</v>
      </c>
      <c r="L251" s="72">
        <f>Table1[[#This Row],[unique-opens]] / Table1[[#This Row],[unique-sends]] * 100</f>
        <v>63.085399449035819</v>
      </c>
      <c r="M251" s="73">
        <f>Table1[[#This Row],[unique-clicks]] / Table1[[#This Row],[unique-sends]] * 100</f>
        <v>3.8567493112947657</v>
      </c>
      <c r="N251" s="73">
        <f>Table1[[#This Row],[unique-clicks]] / Table1[[#This Row],[unique-opens]] * 100</f>
        <v>6.1135371179039302</v>
      </c>
      <c r="O251" s="73">
        <f>(MIN(Table1[[#This Row],[unique-opens]]/Table1[[#This Row],[unique-sends]],1)*50
 + MIN(Table1[[#This Row],[unique-clicks]]/Table1[[#This Row],[unique-sends]],1)*50)
 * (1 + MIN(Table1[[#This Row],[unique-clicks]]/Table1[[#This Row],[unique-sends]],1))
 - ((Table1[[#This Row],[unsub]]/Table1[[#This Row],[unique-sends]]*100)*2)</f>
        <v>34.761969810805276</v>
      </c>
      <c r="P251" s="11" t="str">
        <f>IF(Table1[[#This Row],[Engagement Score]]&lt;30,"🔴",IF(Table1[[#This Row],[Engagement Score]]&lt;40,"🟡","🟢"))</f>
        <v>🟡</v>
      </c>
      <c r="Q251" s="8">
        <v>65.900000000000006</v>
      </c>
      <c r="R251" s="8">
        <v>22</v>
      </c>
      <c r="S251" s="8">
        <v>12.2</v>
      </c>
      <c r="T251" s="18" t="s">
        <v>238</v>
      </c>
    </row>
    <row r="252" spans="1:20" ht="32.1" customHeight="1">
      <c r="A252" s="14">
        <v>30</v>
      </c>
      <c r="B252" s="17" t="s">
        <v>237</v>
      </c>
      <c r="C252" s="65">
        <v>45980</v>
      </c>
      <c r="D252" s="79" t="s">
        <v>21</v>
      </c>
      <c r="E252" s="79" t="s">
        <v>26</v>
      </c>
      <c r="F252" s="8" t="s">
        <v>27</v>
      </c>
      <c r="G252" s="16">
        <v>6370</v>
      </c>
      <c r="H252" s="14">
        <v>3363</v>
      </c>
      <c r="I252" s="15">
        <v>207</v>
      </c>
      <c r="J252" s="8">
        <v>3</v>
      </c>
      <c r="K252" s="71">
        <f>(Table1[[#This Row],[unsub]]/Table1[[#This Row],[unique-sends]])*100</f>
        <v>4.7095761381475663E-2</v>
      </c>
      <c r="L252" s="72">
        <f>Table1[[#This Row],[unique-opens]] / Table1[[#This Row],[unique-sends]] * 100</f>
        <v>52.794348508634229</v>
      </c>
      <c r="M252" s="73">
        <f>Table1[[#This Row],[unique-clicks]] / Table1[[#This Row],[unique-sends]] * 100</f>
        <v>3.2496075353218212</v>
      </c>
      <c r="N252" s="73">
        <f>Table1[[#This Row],[unique-clicks]] / Table1[[#This Row],[unique-opens]] * 100</f>
        <v>6.1552185548617304</v>
      </c>
      <c r="O252" s="73">
        <f>(MIN(Table1[[#This Row],[unique-opens]]/Table1[[#This Row],[unique-sends]],1)*50
 + MIN(Table1[[#This Row],[unique-clicks]]/Table1[[#This Row],[unique-sends]],1)*50)
 * (1 + MIN(Table1[[#This Row],[unique-clicks]]/Table1[[#This Row],[unique-sends]],1))
 - ((Table1[[#This Row],[unsub]]/Table1[[#This Row],[unique-sends]]*100)*2)</f>
        <v>28.838390808563496</v>
      </c>
      <c r="P252" s="11" t="str">
        <f>IF(Table1[[#This Row],[Engagement Score]]&lt;30,"🔴",IF(Table1[[#This Row],[Engagement Score]]&lt;40,"🟡","🟢"))</f>
        <v>🔴</v>
      </c>
      <c r="Q252" s="8">
        <v>80</v>
      </c>
      <c r="R252" s="8">
        <v>12.9</v>
      </c>
      <c r="S252" s="8">
        <v>7.1</v>
      </c>
      <c r="T252" s="18" t="s">
        <v>239</v>
      </c>
    </row>
    <row r="253" spans="1:20" ht="32.1" customHeight="1">
      <c r="A253" s="14">
        <v>30</v>
      </c>
      <c r="B253" s="17" t="s">
        <v>240</v>
      </c>
      <c r="C253" s="65">
        <v>45980</v>
      </c>
      <c r="D253" s="79" t="s">
        <v>29</v>
      </c>
      <c r="E253" s="79" t="s">
        <v>26</v>
      </c>
      <c r="F253" s="9" t="s">
        <v>27</v>
      </c>
      <c r="G253" s="10">
        <v>1090</v>
      </c>
      <c r="H253" s="8">
        <v>674</v>
      </c>
      <c r="I253" s="6">
        <v>41</v>
      </c>
      <c r="J253" s="8">
        <v>0</v>
      </c>
      <c r="K253" s="71">
        <f>(Table1[[#This Row],[unsub]]/Table1[[#This Row],[unique-sends]])*100</f>
        <v>0</v>
      </c>
      <c r="L253" s="72">
        <f>Table1[[#This Row],[unique-opens]] / Table1[[#This Row],[unique-sends]] * 100</f>
        <v>61.834862385321102</v>
      </c>
      <c r="M253" s="73">
        <f>Table1[[#This Row],[unique-clicks]] / Table1[[#This Row],[unique-sends]] * 100</f>
        <v>3.761467889908257</v>
      </c>
      <c r="N253" s="73">
        <f>Table1[[#This Row],[unique-clicks]] / Table1[[#This Row],[unique-opens]] * 100</f>
        <v>6.0830860534124627</v>
      </c>
      <c r="O253" s="73">
        <f>(MIN(Table1[[#This Row],[unique-opens]]/Table1[[#This Row],[unique-sends]],1)*50
 + MIN(Table1[[#This Row],[unique-clicks]]/Table1[[#This Row],[unique-sends]],1)*50)
 * (1 + MIN(Table1[[#This Row],[unique-clicks]]/Table1[[#This Row],[unique-sends]],1))
 - ((Table1[[#This Row],[unsub]]/Table1[[#This Row],[unique-sends]]*100)*2)</f>
        <v>34.031857587745144</v>
      </c>
      <c r="P253" s="11" t="str">
        <f>IF(Table1[[#This Row],[Engagement Score]]&lt;30,"🔴",IF(Table1[[#This Row],[Engagement Score]]&lt;40,"🟡","🟢"))</f>
        <v>🟡</v>
      </c>
      <c r="Q253" s="8">
        <v>51</v>
      </c>
      <c r="R253" s="8">
        <v>19.600000000000001</v>
      </c>
      <c r="S253" s="8">
        <v>29.4</v>
      </c>
      <c r="T253" s="18" t="s">
        <v>241</v>
      </c>
    </row>
    <row r="254" spans="1:20" ht="32.1" customHeight="1">
      <c r="A254" s="14">
        <v>30</v>
      </c>
      <c r="B254" s="17" t="s">
        <v>240</v>
      </c>
      <c r="C254" s="65">
        <v>45980</v>
      </c>
      <c r="D254" s="79" t="s">
        <v>21</v>
      </c>
      <c r="E254" s="79" t="s">
        <v>26</v>
      </c>
      <c r="F254" s="8" t="s">
        <v>27</v>
      </c>
      <c r="G254" s="16">
        <v>3693</v>
      </c>
      <c r="H254" s="14">
        <v>2016</v>
      </c>
      <c r="I254" s="15">
        <v>71</v>
      </c>
      <c r="J254" s="8">
        <v>0</v>
      </c>
      <c r="K254" s="71">
        <f>(Table1[[#This Row],[unsub]]/Table1[[#This Row],[unique-sends]])*100</f>
        <v>0</v>
      </c>
      <c r="L254" s="72">
        <f>Table1[[#This Row],[unique-opens]] / Table1[[#This Row],[unique-sends]] * 100</f>
        <v>54.589764419171402</v>
      </c>
      <c r="M254" s="73">
        <f>Table1[[#This Row],[unique-clicks]] / Table1[[#This Row],[unique-sends]] * 100</f>
        <v>1.9225561873815327</v>
      </c>
      <c r="N254" s="73">
        <f>Table1[[#This Row],[unique-clicks]] / Table1[[#This Row],[unique-opens]] * 100</f>
        <v>3.5218253968253967</v>
      </c>
      <c r="O254" s="73">
        <f>(MIN(Table1[[#This Row],[unique-opens]]/Table1[[#This Row],[unique-sends]],1)*50
 + MIN(Table1[[#This Row],[unique-clicks]]/Table1[[#This Row],[unique-sends]],1)*50)
 * (1 + MIN(Table1[[#This Row],[unique-clicks]]/Table1[[#This Row],[unique-sends]],1))
 - ((Table1[[#This Row],[unsub]]/Table1[[#This Row],[unique-sends]]*100)*2)</f>
        <v>28.799400861503553</v>
      </c>
      <c r="P254" s="11" t="str">
        <f>IF(Table1[[#This Row],[Engagement Score]]&lt;30,"🔴",IF(Table1[[#This Row],[Engagement Score]]&lt;40,"🟡","🟢"))</f>
        <v>🔴</v>
      </c>
      <c r="Q254" s="8">
        <v>72.2</v>
      </c>
      <c r="R254" s="8">
        <v>13.7</v>
      </c>
      <c r="S254" s="8">
        <v>14.1</v>
      </c>
      <c r="T254" s="18" t="s">
        <v>242</v>
      </c>
    </row>
    <row r="255" spans="1:20" ht="32.1" customHeight="1">
      <c r="A255" s="8">
        <v>91</v>
      </c>
      <c r="B255" s="17" t="s">
        <v>243</v>
      </c>
      <c r="C255" s="65">
        <v>45986</v>
      </c>
      <c r="D255" s="79" t="s">
        <v>29</v>
      </c>
      <c r="E255" s="78" t="s">
        <v>22</v>
      </c>
      <c r="F255" s="8" t="s">
        <v>27</v>
      </c>
      <c r="G255" s="10">
        <v>18028</v>
      </c>
      <c r="H255" s="8">
        <v>10515</v>
      </c>
      <c r="I255" s="6">
        <v>292</v>
      </c>
      <c r="J255" s="8">
        <v>17</v>
      </c>
      <c r="K255" s="71">
        <f>(Table1[[#This Row],[unsub]]/Table1[[#This Row],[unique-sends]])*100</f>
        <v>9.4297759041491014E-2</v>
      </c>
      <c r="L255" s="72">
        <f>Table1[[#This Row],[unique-opens]] / Table1[[#This Row],[unique-sends]] * 100</f>
        <v>58.325937430663409</v>
      </c>
      <c r="M255" s="73">
        <f>Table1[[#This Row],[unique-clicks]] / Table1[[#This Row],[unique-sends]] * 100</f>
        <v>1.6197026847126692</v>
      </c>
      <c r="N255" s="73">
        <f>Table1[[#This Row],[unique-clicks]] / Table1[[#This Row],[unique-opens]] * 100</f>
        <v>2.77698525915359</v>
      </c>
      <c r="O255" s="73">
        <f>(MIN(Table1[[#This Row],[unique-opens]]/Table1[[#This Row],[unique-sends]],1)*50
 + MIN(Table1[[#This Row],[unique-clicks]]/Table1[[#This Row],[unique-sends]],1)*50)
 * (1 + MIN(Table1[[#This Row],[unique-clicks]]/Table1[[#This Row],[unique-sends]],1))
 - ((Table1[[#This Row],[unsub]]/Table1[[#This Row],[unique-sends]]*100)*2)</f>
        <v>30.269695110763532</v>
      </c>
      <c r="P255" s="11" t="str">
        <f>IF(Table1[[#This Row],[Engagement Score]]&lt;30,"🔴",IF(Table1[[#This Row],[Engagement Score]]&lt;40,"🟡","🟢"))</f>
        <v>🟡</v>
      </c>
      <c r="Q255" s="8">
        <v>74.7</v>
      </c>
      <c r="R255" s="8">
        <v>14.6</v>
      </c>
      <c r="S255" s="8">
        <v>10.7</v>
      </c>
      <c r="T255" s="18" t="s">
        <v>244</v>
      </c>
    </row>
    <row r="256" spans="1:20" ht="32.1" customHeight="1">
      <c r="A256" s="8">
        <v>91</v>
      </c>
      <c r="B256" s="17" t="s">
        <v>245</v>
      </c>
      <c r="C256" s="65">
        <v>45986</v>
      </c>
      <c r="D256" s="79" t="s">
        <v>21</v>
      </c>
      <c r="E256" s="78" t="s">
        <v>22</v>
      </c>
      <c r="F256" s="8" t="s">
        <v>27</v>
      </c>
      <c r="G256" s="16">
        <v>345077</v>
      </c>
      <c r="H256" s="14">
        <v>185336</v>
      </c>
      <c r="I256" s="15">
        <v>5310</v>
      </c>
      <c r="J256" s="8">
        <v>528</v>
      </c>
      <c r="K256" s="71">
        <f>(Table1[[#This Row],[unsub]]/Table1[[#This Row],[unique-sends]])*100</f>
        <v>0.15300932835280243</v>
      </c>
      <c r="L256" s="72">
        <f>Table1[[#This Row],[unique-opens]] / Table1[[#This Row],[unique-sends]] * 100</f>
        <v>53.708592574990512</v>
      </c>
      <c r="M256" s="73">
        <f>Table1[[#This Row],[unique-clicks]] / Table1[[#This Row],[unique-sends]] * 100</f>
        <v>1.5387869953662516</v>
      </c>
      <c r="N256" s="73">
        <f>Table1[[#This Row],[unique-clicks]] / Table1[[#This Row],[unique-opens]] * 100</f>
        <v>2.865066689687918</v>
      </c>
      <c r="O256" s="73">
        <f>(MIN(Table1[[#This Row],[unique-opens]]/Table1[[#This Row],[unique-sends]],1)*50
 + MIN(Table1[[#This Row],[unique-clicks]]/Table1[[#This Row],[unique-sends]],1)*50)
 * (1 + MIN(Table1[[#This Row],[unique-clicks]]/Table1[[#This Row],[unique-sends]],1))
 - ((Table1[[#This Row],[unsub]]/Table1[[#This Row],[unique-sends]]*100)*2)</f>
        <v>27.742740874527417</v>
      </c>
      <c r="P256" s="11" t="str">
        <f>IF(Table1[[#This Row],[Engagement Score]]&lt;30,"🔴",IF(Table1[[#This Row],[Engagement Score]]&lt;40,"🟡","🟢"))</f>
        <v>🔴</v>
      </c>
      <c r="Q256" s="8">
        <v>79.7</v>
      </c>
      <c r="R256" s="8">
        <v>11.9</v>
      </c>
      <c r="S256" s="8">
        <v>8.3000000000000007</v>
      </c>
      <c r="T256" s="18" t="s">
        <v>246</v>
      </c>
    </row>
    <row r="257" spans="1:20" ht="32.1" customHeight="1">
      <c r="A257" s="8">
        <v>92</v>
      </c>
      <c r="B257" s="13" t="s">
        <v>247</v>
      </c>
      <c r="C257" s="65">
        <v>45989</v>
      </c>
      <c r="D257" s="79" t="s">
        <v>21</v>
      </c>
      <c r="E257" s="79" t="s">
        <v>69</v>
      </c>
      <c r="F257" s="8" t="s">
        <v>27</v>
      </c>
      <c r="G257" s="8">
        <v>922</v>
      </c>
      <c r="H257" s="8">
        <v>556</v>
      </c>
      <c r="I257" s="6">
        <v>326</v>
      </c>
      <c r="J257" s="8">
        <v>1</v>
      </c>
      <c r="K257" s="71">
        <f>(Table1[[#This Row],[unsub]]/Table1[[#This Row],[unique-sends]])*100</f>
        <v>0.10845986984815618</v>
      </c>
      <c r="L257" s="72">
        <f>Table1[[#This Row],[unique-opens]] / Table1[[#This Row],[unique-sends]] * 100</f>
        <v>60.303687635574832</v>
      </c>
      <c r="M257" s="73">
        <f>Table1[[#This Row],[unique-clicks]] / Table1[[#This Row],[unique-sends]] * 100</f>
        <v>35.357917570498913</v>
      </c>
      <c r="N257" s="73">
        <f>Table1[[#This Row],[unique-clicks]] / Table1[[#This Row],[unique-opens]] * 100</f>
        <v>58.633093525179859</v>
      </c>
      <c r="O257" s="73">
        <f>(MIN(Table1[[#This Row],[unique-opens]]/Table1[[#This Row],[unique-sends]],1)*50
 + MIN(Table1[[#This Row],[unique-clicks]]/Table1[[#This Row],[unique-sends]],1)*50)
 * (1 + MIN(Table1[[#This Row],[unique-clicks]]/Table1[[#This Row],[unique-sends]],1))
 - ((Table1[[#This Row],[unsub]]/Table1[[#This Row],[unique-sends]]*100)*2)</f>
        <v>64.525858621030395</v>
      </c>
      <c r="P257" s="11" t="str">
        <f>IF(Table1[[#This Row],[Engagement Score]]&lt;30,"🔴",IF(Table1[[#This Row],[Engagement Score]]&lt;40,"🟡","🟢"))</f>
        <v>🟢</v>
      </c>
      <c r="Q257" s="8">
        <v>33.299999999999997</v>
      </c>
      <c r="R257" s="8">
        <v>66.7</v>
      </c>
      <c r="S257" s="8">
        <v>0</v>
      </c>
      <c r="T257" s="18" t="s">
        <v>248</v>
      </c>
    </row>
    <row r="258" spans="1:20" ht="32.1" customHeight="1">
      <c r="A258" s="8">
        <v>93</v>
      </c>
      <c r="B258" s="17" t="s">
        <v>249</v>
      </c>
      <c r="C258" s="65">
        <v>45995</v>
      </c>
      <c r="D258" s="79" t="s">
        <v>21</v>
      </c>
      <c r="E258" s="78" t="s">
        <v>22</v>
      </c>
      <c r="F258" s="14" t="s">
        <v>23</v>
      </c>
      <c r="G258" s="8">
        <v>154</v>
      </c>
      <c r="H258" s="8">
        <v>83</v>
      </c>
      <c r="I258" s="6">
        <v>7</v>
      </c>
      <c r="J258" s="8">
        <v>0</v>
      </c>
      <c r="K258" s="71">
        <f>(Table1[[#This Row],[unsub]]/Table1[[#This Row],[unique-sends]])*100</f>
        <v>0</v>
      </c>
      <c r="L258" s="72">
        <f>Table1[[#This Row],[unique-opens]] / Table1[[#This Row],[unique-sends]] * 100</f>
        <v>53.896103896103895</v>
      </c>
      <c r="M258" s="73">
        <f>Table1[[#This Row],[unique-clicks]] / Table1[[#This Row],[unique-sends]] * 100</f>
        <v>4.5454545454545459</v>
      </c>
      <c r="N258" s="73">
        <f>Table1[[#This Row],[unique-clicks]] / Table1[[#This Row],[unique-opens]] * 100</f>
        <v>8.4337349397590362</v>
      </c>
      <c r="O258" s="73">
        <f>(MIN(Table1[[#This Row],[unique-opens]]/Table1[[#This Row],[unique-sends]],1)*50
 + MIN(Table1[[#This Row],[unique-clicks]]/Table1[[#This Row],[unique-sends]],1)*50)
 * (1 + MIN(Table1[[#This Row],[unique-clicks]]/Table1[[#This Row],[unique-sends]],1))
 - ((Table1[[#This Row],[unsub]]/Table1[[#This Row],[unique-sends]]*100)*2)</f>
        <v>30.548996458087366</v>
      </c>
      <c r="P258" s="11" t="str">
        <f>IF(Table1[[#This Row],[Engagement Score]]&lt;30,"🔴",IF(Table1[[#This Row],[Engagement Score]]&lt;40,"🟡","🟢"))</f>
        <v>🟡</v>
      </c>
      <c r="Q258" s="8">
        <v>47.4</v>
      </c>
      <c r="R258" s="8">
        <v>36.799999999999997</v>
      </c>
      <c r="S258" s="8">
        <v>15.8</v>
      </c>
      <c r="T258" s="18" t="s">
        <v>250</v>
      </c>
    </row>
    <row r="259" spans="1:20" ht="32.1" customHeight="1">
      <c r="A259" s="8">
        <v>93</v>
      </c>
      <c r="B259" s="17" t="s">
        <v>251</v>
      </c>
      <c r="C259" s="65">
        <v>45995</v>
      </c>
      <c r="D259" s="79" t="s">
        <v>21</v>
      </c>
      <c r="E259" s="79" t="s">
        <v>22</v>
      </c>
      <c r="F259" s="8" t="s">
        <v>23</v>
      </c>
      <c r="G259" s="8">
        <v>275</v>
      </c>
      <c r="H259" s="8">
        <v>159</v>
      </c>
      <c r="I259" s="6">
        <v>12</v>
      </c>
      <c r="J259" s="8">
        <v>1</v>
      </c>
      <c r="K259" s="71">
        <f>(Table1[[#This Row],[unsub]]/Table1[[#This Row],[unique-sends]])*100</f>
        <v>0.36363636363636365</v>
      </c>
      <c r="L259" s="72">
        <f>Table1[[#This Row],[unique-opens]] / Table1[[#This Row],[unique-sends]] * 100</f>
        <v>57.818181818181813</v>
      </c>
      <c r="M259" s="73">
        <f>Table1[[#This Row],[unique-clicks]] / Table1[[#This Row],[unique-sends]] * 100</f>
        <v>4.3636363636363642</v>
      </c>
      <c r="N259" s="73">
        <f>Table1[[#This Row],[unique-clicks]] / Table1[[#This Row],[unique-opens]] * 100</f>
        <v>7.5471698113207548</v>
      </c>
      <c r="O259" s="73">
        <f>(MIN(Table1[[#This Row],[unique-opens]]/Table1[[#This Row],[unique-sends]],1)*50
 + MIN(Table1[[#This Row],[unique-clicks]]/Table1[[#This Row],[unique-sends]],1)*50)
 * (1 + MIN(Table1[[#This Row],[unique-clicks]]/Table1[[#This Row],[unique-sends]],1))
 - ((Table1[[#This Row],[unsub]]/Table1[[#This Row],[unique-sends]]*100)*2)</f>
        <v>31.720330578512396</v>
      </c>
      <c r="P259" s="11" t="str">
        <f>IF(Table1[[#This Row],[Engagement Score]]&lt;30,"🔴",IF(Table1[[#This Row],[Engagement Score]]&lt;40,"🟡","🟢"))</f>
        <v>🟡</v>
      </c>
      <c r="Q259" s="8">
        <v>72</v>
      </c>
      <c r="R259" s="8">
        <v>18</v>
      </c>
      <c r="S259" s="8">
        <v>10</v>
      </c>
      <c r="T259" s="18" t="s">
        <v>252</v>
      </c>
    </row>
    <row r="260" spans="1:20" ht="32.1" customHeight="1">
      <c r="A260" s="8">
        <v>93</v>
      </c>
      <c r="B260" s="17" t="s">
        <v>253</v>
      </c>
      <c r="C260" s="65">
        <v>45995</v>
      </c>
      <c r="D260" s="79" t="s">
        <v>21</v>
      </c>
      <c r="E260" s="79" t="s">
        <v>22</v>
      </c>
      <c r="F260" s="8" t="s">
        <v>23</v>
      </c>
      <c r="G260" s="8">
        <v>393</v>
      </c>
      <c r="H260" s="8">
        <v>201</v>
      </c>
      <c r="I260" s="6">
        <v>25</v>
      </c>
      <c r="J260" s="8">
        <v>0</v>
      </c>
      <c r="K260" s="71">
        <f>(Table1[[#This Row],[unsub]]/Table1[[#This Row],[unique-sends]])*100</f>
        <v>0</v>
      </c>
      <c r="L260" s="72">
        <f>Table1[[#This Row],[unique-opens]] / Table1[[#This Row],[unique-sends]] * 100</f>
        <v>51.145038167938928</v>
      </c>
      <c r="M260" s="73">
        <f>Table1[[#This Row],[unique-clicks]] / Table1[[#This Row],[unique-sends]] * 100</f>
        <v>6.3613231552162848</v>
      </c>
      <c r="N260" s="73">
        <f>Table1[[#This Row],[unique-clicks]] / Table1[[#This Row],[unique-opens]] * 100</f>
        <v>12.437810945273633</v>
      </c>
      <c r="O260" s="73">
        <f>(MIN(Table1[[#This Row],[unique-opens]]/Table1[[#This Row],[unique-sends]],1)*50
 + MIN(Table1[[#This Row],[unique-clicks]]/Table1[[#This Row],[unique-sends]],1)*50)
 * (1 + MIN(Table1[[#This Row],[unique-clicks]]/Table1[[#This Row],[unique-sends]],1))
 - ((Table1[[#This Row],[unsub]]/Table1[[#This Row],[unique-sends]]*100)*2)</f>
        <v>30.582263400863713</v>
      </c>
      <c r="P260" s="11" t="str">
        <f>IF(Table1[[#This Row],[Engagement Score]]&lt;30,"🔴",IF(Table1[[#This Row],[Engagement Score]]&lt;40,"🟡","🟢"))</f>
        <v>🟡</v>
      </c>
      <c r="Q260" s="14">
        <v>80</v>
      </c>
      <c r="R260" s="8">
        <v>20</v>
      </c>
      <c r="S260" s="8">
        <v>0</v>
      </c>
      <c r="T260" s="18" t="s">
        <v>254</v>
      </c>
    </row>
    <row r="261" spans="1:20" ht="32.1" customHeight="1">
      <c r="A261" s="8">
        <v>93</v>
      </c>
      <c r="B261" s="17" t="s">
        <v>255</v>
      </c>
      <c r="C261" s="65">
        <v>45995</v>
      </c>
      <c r="D261" s="79" t="s">
        <v>21</v>
      </c>
      <c r="E261" s="79" t="s">
        <v>22</v>
      </c>
      <c r="F261" s="8" t="s">
        <v>23</v>
      </c>
      <c r="G261" s="8">
        <v>421</v>
      </c>
      <c r="H261" s="8">
        <v>255</v>
      </c>
      <c r="I261" s="6">
        <v>15</v>
      </c>
      <c r="J261" s="8">
        <v>0</v>
      </c>
      <c r="K261" s="71">
        <f>(Table1[[#This Row],[unsub]]/Table1[[#This Row],[unique-sends]])*100</f>
        <v>0</v>
      </c>
      <c r="L261" s="72">
        <f>Table1[[#This Row],[unique-opens]] / Table1[[#This Row],[unique-sends]] * 100</f>
        <v>60.570071258907362</v>
      </c>
      <c r="M261" s="73">
        <f>Table1[[#This Row],[unique-clicks]] / Table1[[#This Row],[unique-sends]] * 100</f>
        <v>3.5629453681710213</v>
      </c>
      <c r="N261" s="73">
        <f>Table1[[#This Row],[unique-clicks]] / Table1[[#This Row],[unique-opens]] * 100</f>
        <v>5.8823529411764701</v>
      </c>
      <c r="O261" s="73">
        <f>(MIN(Table1[[#This Row],[unique-opens]]/Table1[[#This Row],[unique-sends]],1)*50
 + MIN(Table1[[#This Row],[unique-clicks]]/Table1[[#This Row],[unique-sends]],1)*50)
 * (1 + MIN(Table1[[#This Row],[unique-clicks]]/Table1[[#This Row],[unique-sends]],1))
 - ((Table1[[#This Row],[unsub]]/Table1[[#This Row],[unique-sends]]*100)*2)</f>
        <v>33.209020486230607</v>
      </c>
      <c r="P261" s="11" t="str">
        <f>IF(Table1[[#This Row],[Engagement Score]]&lt;30,"🔴",IF(Table1[[#This Row],[Engagement Score]]&lt;40,"🟡","🟢"))</f>
        <v>🟡</v>
      </c>
      <c r="Q261" s="8">
        <v>75</v>
      </c>
      <c r="R261" s="8">
        <v>13.3</v>
      </c>
      <c r="S261" s="8">
        <v>11.7</v>
      </c>
      <c r="T261" s="18" t="s">
        <v>256</v>
      </c>
    </row>
    <row r="262" spans="1:20" ht="32.1" customHeight="1">
      <c r="A262" s="14">
        <v>43</v>
      </c>
      <c r="B262" s="21" t="s">
        <v>257</v>
      </c>
      <c r="C262" s="66">
        <v>45992</v>
      </c>
      <c r="D262" s="80" t="s">
        <v>21</v>
      </c>
      <c r="E262" s="80" t="s">
        <v>22</v>
      </c>
      <c r="F262" s="14" t="s">
        <v>23</v>
      </c>
      <c r="G262" s="14">
        <v>79</v>
      </c>
      <c r="H262" s="14">
        <v>64</v>
      </c>
      <c r="I262" s="15">
        <v>4</v>
      </c>
      <c r="J262" s="23">
        <v>0</v>
      </c>
      <c r="K262" s="71">
        <f>(Table1[[#This Row],[unsub]]/Table1[[#This Row],[unique-sends]])*100</f>
        <v>0</v>
      </c>
      <c r="L262" s="72">
        <f>Table1[[#This Row],[unique-opens]] / Table1[[#This Row],[unique-sends]] * 100</f>
        <v>81.012658227848107</v>
      </c>
      <c r="M262" s="73">
        <f>Table1[[#This Row],[unique-clicks]] / Table1[[#This Row],[unique-sends]] * 100</f>
        <v>5.0632911392405067</v>
      </c>
      <c r="N262" s="73">
        <f>Table1[[#This Row],[unique-clicks]] / Table1[[#This Row],[unique-opens]] * 100</f>
        <v>6.25</v>
      </c>
      <c r="O262" s="73">
        <f>(MIN(Table1[[#This Row],[unique-opens]]/Table1[[#This Row],[unique-sends]],1)*50
 + MIN(Table1[[#This Row],[unique-clicks]]/Table1[[#This Row],[unique-sends]],1)*50)
 * (1 + MIN(Table1[[#This Row],[unique-clicks]]/Table1[[#This Row],[unique-sends]],1))
 - ((Table1[[#This Row],[unsub]]/Table1[[#This Row],[unique-sends]]*100)*2)</f>
        <v>45.217112642204782</v>
      </c>
      <c r="P262" s="11" t="str">
        <f>IF(Table1[[#This Row],[Engagement Score]]&lt;30,"🔴",IF(Table1[[#This Row],[Engagement Score]]&lt;40,"🟡","🟢"))</f>
        <v>🟢</v>
      </c>
      <c r="Q262" s="23"/>
      <c r="R262" s="23"/>
      <c r="S262" s="23"/>
      <c r="T262" s="26"/>
    </row>
    <row r="263" spans="1:20" ht="32.1" customHeight="1">
      <c r="A263" s="8">
        <v>44</v>
      </c>
      <c r="B263" s="17" t="s">
        <v>258</v>
      </c>
      <c r="C263" s="65">
        <v>45992</v>
      </c>
      <c r="D263" s="79" t="s">
        <v>21</v>
      </c>
      <c r="E263" s="79" t="s">
        <v>22</v>
      </c>
      <c r="F263" s="8" t="s">
        <v>23</v>
      </c>
      <c r="G263" s="8">
        <v>573</v>
      </c>
      <c r="H263" s="8">
        <v>391</v>
      </c>
      <c r="I263" s="6">
        <v>40</v>
      </c>
      <c r="J263" s="23">
        <v>1</v>
      </c>
      <c r="K263" s="71">
        <f>(Table1[[#This Row],[unsub]]/Table1[[#This Row],[unique-sends]])*100</f>
        <v>0.17452006980802792</v>
      </c>
      <c r="L263" s="72">
        <f>Table1[[#This Row],[unique-opens]] / Table1[[#This Row],[unique-sends]] * 100</f>
        <v>68.237347294938928</v>
      </c>
      <c r="M263" s="73">
        <f>Table1[[#This Row],[unique-clicks]] / Table1[[#This Row],[unique-sends]] * 100</f>
        <v>6.9808027923211169</v>
      </c>
      <c r="N263" s="73">
        <f>Table1[[#This Row],[unique-clicks]] / Table1[[#This Row],[unique-opens]] * 100</f>
        <v>10.230179028132993</v>
      </c>
      <c r="O263" s="73">
        <f>(MIN(Table1[[#This Row],[unique-opens]]/Table1[[#This Row],[unique-sends]],1)*50
 + MIN(Table1[[#This Row],[unique-clicks]]/Table1[[#This Row],[unique-sends]],1)*50)
 * (1 + MIN(Table1[[#This Row],[unique-clicks]]/Table1[[#This Row],[unique-sends]],1))
 - ((Table1[[#This Row],[unsub]]/Table1[[#This Row],[unique-sends]]*100)*2)</f>
        <v>39.885450264825835</v>
      </c>
      <c r="P263" s="11" t="str">
        <f>IF(Table1[[#This Row],[Engagement Score]]&lt;30,"🔴",IF(Table1[[#This Row],[Engagement Score]]&lt;40,"🟡","🟢"))</f>
        <v>🟡</v>
      </c>
      <c r="Q263" s="23" t="s">
        <v>24</v>
      </c>
      <c r="R263" s="23" t="s">
        <v>24</v>
      </c>
      <c r="S263" s="23" t="s">
        <v>24</v>
      </c>
      <c r="T263" s="27" t="s">
        <v>24</v>
      </c>
    </row>
    <row r="264" spans="1:20" ht="32.1" customHeight="1">
      <c r="A264" s="8">
        <v>38</v>
      </c>
      <c r="B264" s="17" t="s">
        <v>259</v>
      </c>
      <c r="C264" s="65">
        <v>45992</v>
      </c>
      <c r="D264" s="79" t="s">
        <v>21</v>
      </c>
      <c r="E264" s="79" t="s">
        <v>22</v>
      </c>
      <c r="F264" s="8" t="s">
        <v>23</v>
      </c>
      <c r="G264" s="8">
        <v>115</v>
      </c>
      <c r="H264" s="8">
        <v>116</v>
      </c>
      <c r="I264" s="6">
        <v>24</v>
      </c>
      <c r="J264" s="23">
        <v>0</v>
      </c>
      <c r="K264" s="71">
        <f>(Table1[[#This Row],[unsub]]/Table1[[#This Row],[unique-sends]])*100</f>
        <v>0</v>
      </c>
      <c r="L264" s="72">
        <f>Table1[[#This Row],[unique-opens]] / Table1[[#This Row],[unique-sends]] * 100</f>
        <v>100.8695652173913</v>
      </c>
      <c r="M264" s="73">
        <f>Table1[[#This Row],[unique-clicks]] / Table1[[#This Row],[unique-sends]] * 100</f>
        <v>20.869565217391305</v>
      </c>
      <c r="N264" s="73">
        <f>Table1[[#This Row],[unique-clicks]] / Table1[[#This Row],[unique-opens]] * 100</f>
        <v>20.689655172413794</v>
      </c>
      <c r="O264" s="73">
        <f>(MIN(Table1[[#This Row],[unique-opens]]/Table1[[#This Row],[unique-sends]],1)*50
 + MIN(Table1[[#This Row],[unique-clicks]]/Table1[[#This Row],[unique-sends]],1)*50)
 * (1 + MIN(Table1[[#This Row],[unique-clicks]]/Table1[[#This Row],[unique-sends]],1))
 - ((Table1[[#This Row],[unsub]]/Table1[[#This Row],[unique-sends]]*100)*2)</f>
        <v>73.047258979206049</v>
      </c>
      <c r="P264" s="11" t="str">
        <f>IF(Table1[[#This Row],[Engagement Score]]&lt;30,"🔴",IF(Table1[[#This Row],[Engagement Score]]&lt;40,"🟡","🟢"))</f>
        <v>🟢</v>
      </c>
      <c r="Q264" s="23"/>
      <c r="R264" s="23"/>
      <c r="S264" s="23"/>
      <c r="T264" s="26"/>
    </row>
    <row r="265" spans="1:20" ht="32.1" customHeight="1">
      <c r="A265" s="14">
        <v>35</v>
      </c>
      <c r="B265" s="21" t="s">
        <v>260</v>
      </c>
      <c r="C265" s="66">
        <v>45992</v>
      </c>
      <c r="D265" s="80" t="s">
        <v>21</v>
      </c>
      <c r="E265" s="80" t="s">
        <v>22</v>
      </c>
      <c r="F265" s="14" t="s">
        <v>23</v>
      </c>
      <c r="G265" s="16">
        <v>1610</v>
      </c>
      <c r="H265" s="14">
        <v>898</v>
      </c>
      <c r="I265" s="15">
        <v>74</v>
      </c>
      <c r="J265" s="23">
        <v>1</v>
      </c>
      <c r="K265" s="71">
        <f>(Table1[[#This Row],[unsub]]/Table1[[#This Row],[unique-sends]])*100</f>
        <v>6.2111801242236024E-2</v>
      </c>
      <c r="L265" s="72">
        <f>Table1[[#This Row],[unique-opens]] / Table1[[#This Row],[unique-sends]] * 100</f>
        <v>55.776397515527954</v>
      </c>
      <c r="M265" s="73">
        <f>Table1[[#This Row],[unique-clicks]] / Table1[[#This Row],[unique-sends]] * 100</f>
        <v>4.5962732919254661</v>
      </c>
      <c r="N265" s="73">
        <f>Table1[[#This Row],[unique-clicks]] / Table1[[#This Row],[unique-opens]] * 100</f>
        <v>8.2405345211581285</v>
      </c>
      <c r="O265" s="73">
        <f>(MIN(Table1[[#This Row],[unique-opens]]/Table1[[#This Row],[unique-sends]],1)*50
 + MIN(Table1[[#This Row],[unique-clicks]]/Table1[[#This Row],[unique-sends]],1)*50)
 * (1 + MIN(Table1[[#This Row],[unique-clicks]]/Table1[[#This Row],[unique-sends]],1))
 - ((Table1[[#This Row],[unsub]]/Table1[[#This Row],[unique-sends]]*100)*2)</f>
        <v>31.449558273214766</v>
      </c>
      <c r="P265" s="11" t="str">
        <f>IF(Table1[[#This Row],[Engagement Score]]&lt;30,"🔴",IF(Table1[[#This Row],[Engagement Score]]&lt;40,"🟡","🟢"))</f>
        <v>🟡</v>
      </c>
      <c r="Q265" s="23">
        <v>94.3</v>
      </c>
      <c r="R265" s="23">
        <v>5.7</v>
      </c>
      <c r="S265" s="23">
        <v>0</v>
      </c>
      <c r="T265" s="29" t="s">
        <v>261</v>
      </c>
    </row>
    <row r="266" spans="1:20" ht="32.1" customHeight="1">
      <c r="A266" s="14">
        <v>36</v>
      </c>
      <c r="B266" s="21" t="s">
        <v>260</v>
      </c>
      <c r="C266" s="65">
        <v>45992</v>
      </c>
      <c r="D266" s="80" t="s">
        <v>29</v>
      </c>
      <c r="E266" s="80" t="s">
        <v>22</v>
      </c>
      <c r="F266" s="14" t="s">
        <v>23</v>
      </c>
      <c r="G266" s="14">
        <v>47</v>
      </c>
      <c r="H266" s="14">
        <v>35</v>
      </c>
      <c r="I266" s="15">
        <v>4</v>
      </c>
      <c r="J266" s="23">
        <v>0</v>
      </c>
      <c r="K266" s="71">
        <f>(Table1[[#This Row],[unsub]]/Table1[[#This Row],[unique-sends]])*100</f>
        <v>0</v>
      </c>
      <c r="L266" s="72">
        <f>Table1[[#This Row],[unique-opens]] / Table1[[#This Row],[unique-sends]] * 100</f>
        <v>74.468085106382972</v>
      </c>
      <c r="M266" s="73">
        <f>Table1[[#This Row],[unique-clicks]] / Table1[[#This Row],[unique-sends]] * 100</f>
        <v>8.5106382978723403</v>
      </c>
      <c r="N266" s="73">
        <f>Table1[[#This Row],[unique-clicks]] / Table1[[#This Row],[unique-opens]] * 100</f>
        <v>11.428571428571429</v>
      </c>
      <c r="O266" s="73">
        <f>(MIN(Table1[[#This Row],[unique-opens]]/Table1[[#This Row],[unique-sends]],1)*50
 + MIN(Table1[[#This Row],[unique-clicks]]/Table1[[#This Row],[unique-sends]],1)*50)
 * (1 + MIN(Table1[[#This Row],[unique-clicks]]/Table1[[#This Row],[unique-sends]],1))
 - ((Table1[[#This Row],[unsub]]/Table1[[#This Row],[unique-sends]]*100)*2)</f>
        <v>45.020371208691706</v>
      </c>
      <c r="P266" s="11" t="str">
        <f>IF(Table1[[#This Row],[Engagement Score]]&lt;30,"🔴",IF(Table1[[#This Row],[Engagement Score]]&lt;40,"🟡","🟢"))</f>
        <v>🟢</v>
      </c>
      <c r="Q266" s="23" t="s">
        <v>24</v>
      </c>
      <c r="R266" s="23" t="s">
        <v>24</v>
      </c>
      <c r="S266" s="23" t="s">
        <v>24</v>
      </c>
      <c r="T266" s="27" t="s">
        <v>24</v>
      </c>
    </row>
    <row r="267" spans="1:20" ht="32.1" customHeight="1">
      <c r="A267" s="14">
        <v>34</v>
      </c>
      <c r="B267" s="21" t="s">
        <v>262</v>
      </c>
      <c r="C267" s="66">
        <v>45992</v>
      </c>
      <c r="D267" s="80" t="s">
        <v>21</v>
      </c>
      <c r="E267" s="80" t="s">
        <v>22</v>
      </c>
      <c r="F267" s="14" t="s">
        <v>23</v>
      </c>
      <c r="G267" s="16">
        <v>4145</v>
      </c>
      <c r="H267" s="14">
        <v>2772</v>
      </c>
      <c r="I267" s="15">
        <v>73</v>
      </c>
      <c r="J267" s="23">
        <v>15</v>
      </c>
      <c r="K267" s="71">
        <f>(Table1[[#This Row],[unsub]]/Table1[[#This Row],[unique-sends]])*100</f>
        <v>0.36188178528347409</v>
      </c>
      <c r="L267" s="72">
        <f>Table1[[#This Row],[unique-opens]] / Table1[[#This Row],[unique-sends]] * 100</f>
        <v>66.875753920386003</v>
      </c>
      <c r="M267" s="73">
        <f>Table1[[#This Row],[unique-clicks]] / Table1[[#This Row],[unique-sends]] * 100</f>
        <v>1.761158021712907</v>
      </c>
      <c r="N267" s="73">
        <f>Table1[[#This Row],[unique-clicks]] / Table1[[#This Row],[unique-opens]] * 100</f>
        <v>2.6334776334776335</v>
      </c>
      <c r="O267" s="73">
        <f>(MIN(Table1[[#This Row],[unique-opens]]/Table1[[#This Row],[unique-sends]],1)*50
 + MIN(Table1[[#This Row],[unique-clicks]]/Table1[[#This Row],[unique-sends]],1)*50)
 * (1 + MIN(Table1[[#This Row],[unique-clicks]]/Table1[[#This Row],[unique-sends]],1))
 - ((Table1[[#This Row],[unsub]]/Table1[[#This Row],[unique-sends]]*100)*2)</f>
        <v>34.199094640744654</v>
      </c>
      <c r="P267" s="11" t="str">
        <f>IF(Table1[[#This Row],[Engagement Score]]&lt;30,"🔴",IF(Table1[[#This Row],[Engagement Score]]&lt;40,"🟡","🟢"))</f>
        <v>🟡</v>
      </c>
      <c r="Q267" s="23"/>
      <c r="R267" s="23"/>
      <c r="S267" s="23"/>
      <c r="T267" s="26"/>
    </row>
    <row r="268" spans="1:20" ht="32.1" customHeight="1">
      <c r="A268" s="14">
        <v>14</v>
      </c>
      <c r="B268" s="21" t="s">
        <v>263</v>
      </c>
      <c r="C268" s="65">
        <v>45992</v>
      </c>
      <c r="D268" s="80" t="s">
        <v>21</v>
      </c>
      <c r="E268" s="80" t="s">
        <v>22</v>
      </c>
      <c r="F268" s="14" t="s">
        <v>23</v>
      </c>
      <c r="G268" s="16">
        <v>1066</v>
      </c>
      <c r="H268" s="14">
        <v>1299</v>
      </c>
      <c r="I268" s="15">
        <v>35</v>
      </c>
      <c r="J268" s="23">
        <v>7</v>
      </c>
      <c r="K268" s="71">
        <f>(Table1[[#This Row],[unsub]]/Table1[[#This Row],[unique-sends]])*100</f>
        <v>0.65666041275797382</v>
      </c>
      <c r="L268" s="72">
        <f>Table1[[#This Row],[unique-opens]] / Table1[[#This Row],[unique-sends]] * 100</f>
        <v>121.85741088180113</v>
      </c>
      <c r="M268" s="73">
        <f>Table1[[#This Row],[unique-clicks]] / Table1[[#This Row],[unique-sends]] * 100</f>
        <v>3.2833020637898689</v>
      </c>
      <c r="N268" s="73">
        <f>Table1[[#This Row],[unique-clicks]] / Table1[[#This Row],[unique-opens]] * 100</f>
        <v>2.6943802925327174</v>
      </c>
      <c r="O268" s="73">
        <f>(MIN(Table1[[#This Row],[unique-opens]]/Table1[[#This Row],[unique-sends]],1)*50
 + MIN(Table1[[#This Row],[unique-clicks]]/Table1[[#This Row],[unique-sends]],1)*50)
 * (1 + MIN(Table1[[#This Row],[unique-clicks]]/Table1[[#This Row],[unique-sends]],1))
 - ((Table1[[#This Row],[unsub]]/Table1[[#This Row],[unique-sends]]*100)*2)</f>
        <v>52.023881600484359</v>
      </c>
      <c r="P268" s="11" t="str">
        <f>IF(Table1[[#This Row],[Engagement Score]]&lt;30,"🔴",IF(Table1[[#This Row],[Engagement Score]]&lt;40,"🟡","🟢"))</f>
        <v>🟢</v>
      </c>
      <c r="Q268" s="23" t="s">
        <v>24</v>
      </c>
      <c r="R268" s="23" t="s">
        <v>24</v>
      </c>
      <c r="S268" s="23" t="s">
        <v>24</v>
      </c>
      <c r="T268" s="27" t="s">
        <v>24</v>
      </c>
    </row>
    <row r="269" spans="1:20" ht="32.1" customHeight="1">
      <c r="A269" s="14">
        <v>87</v>
      </c>
      <c r="B269" s="21" t="s">
        <v>264</v>
      </c>
      <c r="C269" s="66">
        <v>45992</v>
      </c>
      <c r="D269" s="80" t="s">
        <v>29</v>
      </c>
      <c r="E269" s="80" t="s">
        <v>22</v>
      </c>
      <c r="F269" s="14" t="s">
        <v>23</v>
      </c>
      <c r="G269" s="14">
        <v>215</v>
      </c>
      <c r="H269" s="14">
        <v>124</v>
      </c>
      <c r="I269" s="15">
        <v>13</v>
      </c>
      <c r="J269" s="8">
        <v>0</v>
      </c>
      <c r="K269" s="71">
        <f>(Table1[[#This Row],[unsub]]/Table1[[#This Row],[unique-sends]])*100</f>
        <v>0</v>
      </c>
      <c r="L269" s="72">
        <f>Table1[[#This Row],[unique-opens]] / Table1[[#This Row],[unique-sends]] * 100</f>
        <v>57.674418604651166</v>
      </c>
      <c r="M269" s="73">
        <f>Table1[[#This Row],[unique-clicks]] / Table1[[#This Row],[unique-sends]] * 100</f>
        <v>6.0465116279069768</v>
      </c>
      <c r="N269" s="73">
        <f>Table1[[#This Row],[unique-clicks]] / Table1[[#This Row],[unique-opens]] * 100</f>
        <v>10.483870967741936</v>
      </c>
      <c r="O269" s="73">
        <f>(MIN(Table1[[#This Row],[unique-opens]]/Table1[[#This Row],[unique-sends]],1)*50
 + MIN(Table1[[#This Row],[unique-clicks]]/Table1[[#This Row],[unique-sends]],1)*50)
 * (1 + MIN(Table1[[#This Row],[unique-clicks]]/Table1[[#This Row],[unique-sends]],1))
 - ((Table1[[#This Row],[unsub]]/Table1[[#This Row],[unique-sends]]*100)*2)</f>
        <v>33.78691184424013</v>
      </c>
      <c r="P269" s="11" t="str">
        <f>IF(Table1[[#This Row],[Engagement Score]]&lt;30,"🔴",IF(Table1[[#This Row],[Engagement Score]]&lt;40,"🟡","🟢"))</f>
        <v>🟡</v>
      </c>
      <c r="Q269" s="8" t="s">
        <v>24</v>
      </c>
      <c r="R269" s="8" t="s">
        <v>24</v>
      </c>
      <c r="S269" s="8" t="s">
        <v>24</v>
      </c>
      <c r="T269" s="8" t="s">
        <v>24</v>
      </c>
    </row>
    <row r="270" spans="1:20" ht="32.1" customHeight="1">
      <c r="A270" s="14">
        <v>87</v>
      </c>
      <c r="B270" s="21" t="s">
        <v>264</v>
      </c>
      <c r="C270" s="65">
        <v>45992</v>
      </c>
      <c r="D270" s="80" t="s">
        <v>21</v>
      </c>
      <c r="E270" s="80" t="s">
        <v>22</v>
      </c>
      <c r="F270" s="14" t="s">
        <v>23</v>
      </c>
      <c r="G270" s="16">
        <v>3348</v>
      </c>
      <c r="H270" s="14">
        <v>1621</v>
      </c>
      <c r="I270" s="15">
        <v>132</v>
      </c>
      <c r="J270" s="8">
        <v>10</v>
      </c>
      <c r="K270" s="71">
        <f>(Table1[[#This Row],[unsub]]/Table1[[#This Row],[unique-sends]])*100</f>
        <v>0.29868578255675032</v>
      </c>
      <c r="L270" s="72">
        <f>Table1[[#This Row],[unique-opens]] / Table1[[#This Row],[unique-sends]] * 100</f>
        <v>48.416965352449225</v>
      </c>
      <c r="M270" s="73">
        <f>Table1[[#This Row],[unique-clicks]] / Table1[[#This Row],[unique-sends]] * 100</f>
        <v>3.9426523297491038</v>
      </c>
      <c r="N270" s="73">
        <f>Table1[[#This Row],[unique-clicks]] / Table1[[#This Row],[unique-opens]] * 100</f>
        <v>8.143121529919803</v>
      </c>
      <c r="O270" s="73">
        <f>(MIN(Table1[[#This Row],[unique-opens]]/Table1[[#This Row],[unique-sends]],1)*50
 + MIN(Table1[[#This Row],[unique-clicks]]/Table1[[#This Row],[unique-sends]],1)*50)
 * (1 + MIN(Table1[[#This Row],[unique-clicks]]/Table1[[#This Row],[unique-sends]],1))
 - ((Table1[[#This Row],[unsub]]/Table1[[#This Row],[unique-sends]]*100)*2)</f>
        <v>26.614616119183122</v>
      </c>
      <c r="P270" s="11" t="str">
        <f>IF(Table1[[#This Row],[Engagement Score]]&lt;30,"🔴",IF(Table1[[#This Row],[Engagement Score]]&lt;40,"🟡","🟢"))</f>
        <v>🔴</v>
      </c>
      <c r="Q270" s="8" t="s">
        <v>24</v>
      </c>
      <c r="R270" s="8" t="s">
        <v>24</v>
      </c>
      <c r="S270" s="8" t="s">
        <v>24</v>
      </c>
      <c r="T270" s="8" t="s">
        <v>24</v>
      </c>
    </row>
    <row r="271" spans="1:20" ht="32.1" customHeight="1">
      <c r="A271" s="14">
        <v>51</v>
      </c>
      <c r="B271" s="21" t="s">
        <v>265</v>
      </c>
      <c r="C271" s="65">
        <v>45992</v>
      </c>
      <c r="D271" s="80" t="s">
        <v>21</v>
      </c>
      <c r="E271" s="80" t="s">
        <v>22</v>
      </c>
      <c r="F271" s="14" t="s">
        <v>23</v>
      </c>
      <c r="G271" s="14">
        <v>629</v>
      </c>
      <c r="H271" s="14">
        <v>449</v>
      </c>
      <c r="I271" s="15">
        <v>37</v>
      </c>
      <c r="J271" s="14">
        <v>4</v>
      </c>
      <c r="K271" s="71">
        <f>(Table1[[#This Row],[unsub]]/Table1[[#This Row],[unique-sends]])*100</f>
        <v>0.63593004769475359</v>
      </c>
      <c r="L271" s="72">
        <f>Table1[[#This Row],[unique-opens]] / Table1[[#This Row],[unique-sends]] * 100</f>
        <v>71.383147853736091</v>
      </c>
      <c r="M271" s="73">
        <f>Table1[[#This Row],[unique-clicks]] / Table1[[#This Row],[unique-sends]] * 100</f>
        <v>5.8823529411764701</v>
      </c>
      <c r="N271" s="73">
        <f>Table1[[#This Row],[unique-clicks]] / Table1[[#This Row],[unique-opens]] * 100</f>
        <v>8.2405345211581285</v>
      </c>
      <c r="O271" s="73">
        <f>(MIN(Table1[[#This Row],[unique-opens]]/Table1[[#This Row],[unique-sends]],1)*50
 + MIN(Table1[[#This Row],[unique-clicks]]/Table1[[#This Row],[unique-sends]],1)*50)
 * (1 + MIN(Table1[[#This Row],[unique-clicks]]/Table1[[#This Row],[unique-sends]],1))
 - ((Table1[[#This Row],[unsub]]/Table1[[#This Row],[unique-sends]]*100)*2)</f>
        <v>39.633405031328905</v>
      </c>
      <c r="P271" s="11" t="str">
        <f>IF(Table1[[#This Row],[Engagement Score]]&lt;30,"🔴",IF(Table1[[#This Row],[Engagement Score]]&lt;40,"🟡","🟢"))</f>
        <v>🟡</v>
      </c>
      <c r="Q271" s="8">
        <v>0</v>
      </c>
      <c r="R271" s="8">
        <v>0</v>
      </c>
      <c r="S271" s="8">
        <v>0</v>
      </c>
      <c r="T271" s="14" t="s">
        <v>24</v>
      </c>
    </row>
    <row r="272" spans="1:20" ht="32.1" customHeight="1">
      <c r="A272" s="8">
        <v>53</v>
      </c>
      <c r="B272" s="17" t="s">
        <v>266</v>
      </c>
      <c r="C272" s="65">
        <v>45992</v>
      </c>
      <c r="D272" s="79" t="s">
        <v>29</v>
      </c>
      <c r="E272" s="79" t="s">
        <v>22</v>
      </c>
      <c r="F272" s="8" t="s">
        <v>23</v>
      </c>
      <c r="G272" s="8">
        <v>92</v>
      </c>
      <c r="H272" s="8">
        <v>57</v>
      </c>
      <c r="I272" s="6">
        <v>2</v>
      </c>
      <c r="J272" s="8">
        <v>0</v>
      </c>
      <c r="K272" s="71">
        <f>(Table1[[#This Row],[unsub]]/Table1[[#This Row],[unique-sends]])*100</f>
        <v>0</v>
      </c>
      <c r="L272" s="72">
        <f>Table1[[#This Row],[unique-opens]] / Table1[[#This Row],[unique-sends]] * 100</f>
        <v>61.95652173913043</v>
      </c>
      <c r="M272" s="73">
        <f>Table1[[#This Row],[unique-clicks]] / Table1[[#This Row],[unique-sends]] * 100</f>
        <v>2.1739130434782608</v>
      </c>
      <c r="N272" s="73">
        <f>Table1[[#This Row],[unique-clicks]] / Table1[[#This Row],[unique-opens]] * 100</f>
        <v>3.5087719298245612</v>
      </c>
      <c r="O272" s="73">
        <f>(MIN(Table1[[#This Row],[unique-opens]]/Table1[[#This Row],[unique-sends]],1)*50
 + MIN(Table1[[#This Row],[unique-clicks]]/Table1[[#This Row],[unique-sends]],1)*50)
 * (1 + MIN(Table1[[#This Row],[unique-clicks]]/Table1[[#This Row],[unique-sends]],1))
 - ((Table1[[#This Row],[unsub]]/Table1[[#This Row],[unique-sends]]*100)*2)</f>
        <v>32.762287334593573</v>
      </c>
      <c r="P272" s="11" t="str">
        <f>IF(Table1[[#This Row],[Engagement Score]]&lt;30,"🔴",IF(Table1[[#This Row],[Engagement Score]]&lt;40,"🟡","🟢"))</f>
        <v>🟡</v>
      </c>
      <c r="Q272" s="8">
        <v>0</v>
      </c>
      <c r="R272" s="8">
        <v>0</v>
      </c>
      <c r="S272" s="8">
        <v>0</v>
      </c>
      <c r="T272" s="8" t="s">
        <v>24</v>
      </c>
    </row>
    <row r="273" spans="1:20" ht="32.1" customHeight="1">
      <c r="A273" s="14">
        <v>79</v>
      </c>
      <c r="B273" s="21" t="s">
        <v>267</v>
      </c>
      <c r="C273" s="65">
        <v>45992</v>
      </c>
      <c r="D273" s="80" t="s">
        <v>21</v>
      </c>
      <c r="E273" s="80" t="s">
        <v>22</v>
      </c>
      <c r="F273" s="14" t="s">
        <v>23</v>
      </c>
      <c r="G273" s="16">
        <v>1495</v>
      </c>
      <c r="H273" s="14">
        <v>1008</v>
      </c>
      <c r="I273" s="15">
        <v>147</v>
      </c>
      <c r="J273" s="23">
        <v>3</v>
      </c>
      <c r="K273" s="71">
        <f>(Table1[[#This Row],[unsub]]/Table1[[#This Row],[unique-sends]])*100</f>
        <v>0.20066889632107021</v>
      </c>
      <c r="L273" s="72">
        <f>Table1[[#This Row],[unique-opens]] / Table1[[#This Row],[unique-sends]] * 100</f>
        <v>67.424749163879596</v>
      </c>
      <c r="M273" s="73">
        <f>Table1[[#This Row],[unique-clicks]] / Table1[[#This Row],[unique-sends]] * 100</f>
        <v>9.8327759197324429</v>
      </c>
      <c r="N273" s="73">
        <f>Table1[[#This Row],[unique-clicks]] / Table1[[#This Row],[unique-opens]] * 100</f>
        <v>14.583333333333334</v>
      </c>
      <c r="O273" s="73">
        <f>(MIN(Table1[[#This Row],[unique-opens]]/Table1[[#This Row],[unique-sends]],1)*50
 + MIN(Table1[[#This Row],[unique-clicks]]/Table1[[#This Row],[unique-sends]],1)*50)
 * (1 + MIN(Table1[[#This Row],[unique-clicks]]/Table1[[#This Row],[unique-sends]],1))
 - ((Table1[[#This Row],[unsub]]/Table1[[#This Row],[unique-sends]]*100)*2)</f>
        <v>42.02570441046521</v>
      </c>
      <c r="P273" s="11" t="str">
        <f>IF(Table1[[#This Row],[Engagement Score]]&lt;30,"🔴",IF(Table1[[#This Row],[Engagement Score]]&lt;40,"🟡","🟢"))</f>
        <v>🟢</v>
      </c>
      <c r="Q273" s="23"/>
      <c r="R273" s="23"/>
      <c r="S273" s="23"/>
      <c r="T273" s="26"/>
    </row>
    <row r="274" spans="1:20" ht="32.1" customHeight="1">
      <c r="A274" s="14">
        <v>96</v>
      </c>
      <c r="B274" s="21" t="s">
        <v>267</v>
      </c>
      <c r="C274" s="65">
        <v>45992</v>
      </c>
      <c r="D274" s="80" t="s">
        <v>29</v>
      </c>
      <c r="E274" s="80" t="s">
        <v>22</v>
      </c>
      <c r="F274" s="14" t="s">
        <v>23</v>
      </c>
      <c r="G274" s="14">
        <v>60</v>
      </c>
      <c r="H274" s="14">
        <v>37</v>
      </c>
      <c r="I274" s="15">
        <v>3</v>
      </c>
      <c r="J274" s="23">
        <v>0</v>
      </c>
      <c r="K274" s="71">
        <f>(Table1[[#This Row],[unsub]]/Table1[[#This Row],[unique-sends]])*100</f>
        <v>0</v>
      </c>
      <c r="L274" s="72">
        <f>Table1[[#This Row],[unique-opens]] / Table1[[#This Row],[unique-sends]] * 100</f>
        <v>61.666666666666671</v>
      </c>
      <c r="M274" s="73">
        <f>Table1[[#This Row],[unique-clicks]] / Table1[[#This Row],[unique-sends]] * 100</f>
        <v>5</v>
      </c>
      <c r="N274" s="73">
        <f>Table1[[#This Row],[unique-clicks]] / Table1[[#This Row],[unique-opens]] * 100</f>
        <v>8.1081081081081088</v>
      </c>
      <c r="O274" s="73">
        <f>(MIN(Table1[[#This Row],[unique-opens]]/Table1[[#This Row],[unique-sends]],1)*50
 + MIN(Table1[[#This Row],[unique-clicks]]/Table1[[#This Row],[unique-sends]],1)*50)
 * (1 + MIN(Table1[[#This Row],[unique-clicks]]/Table1[[#This Row],[unique-sends]],1))
 - ((Table1[[#This Row],[unsub]]/Table1[[#This Row],[unique-sends]]*100)*2)</f>
        <v>35.000000000000007</v>
      </c>
      <c r="P274" s="11" t="str">
        <f>IF(Table1[[#This Row],[Engagement Score]]&lt;30,"🔴",IF(Table1[[#This Row],[Engagement Score]]&lt;40,"🟡","🟢"))</f>
        <v>🟡</v>
      </c>
      <c r="Q274" s="23" t="s">
        <v>24</v>
      </c>
      <c r="R274" s="23" t="s">
        <v>24</v>
      </c>
      <c r="S274" s="23" t="s">
        <v>24</v>
      </c>
      <c r="T274" s="27" t="s">
        <v>24</v>
      </c>
    </row>
    <row r="275" spans="1:20" ht="32.1" customHeight="1">
      <c r="A275" s="14">
        <v>23</v>
      </c>
      <c r="B275" s="21" t="s">
        <v>268</v>
      </c>
      <c r="C275" s="65">
        <v>45992</v>
      </c>
      <c r="D275" s="80" t="s">
        <v>21</v>
      </c>
      <c r="E275" s="80" t="s">
        <v>22</v>
      </c>
      <c r="F275" s="14" t="s">
        <v>23</v>
      </c>
      <c r="G275" s="14">
        <v>193</v>
      </c>
      <c r="H275" s="14">
        <v>120</v>
      </c>
      <c r="I275" s="15">
        <v>16</v>
      </c>
      <c r="J275" s="8">
        <v>0</v>
      </c>
      <c r="K275" s="71">
        <f>(Table1[[#This Row],[unsub]]/Table1[[#This Row],[unique-sends]])*100</f>
        <v>0</v>
      </c>
      <c r="L275" s="72">
        <f>Table1[[#This Row],[unique-opens]] / Table1[[#This Row],[unique-sends]] * 100</f>
        <v>62.176165803108809</v>
      </c>
      <c r="M275" s="73">
        <f>Table1[[#This Row],[unique-clicks]] / Table1[[#This Row],[unique-sends]] * 100</f>
        <v>8.2901554404145088</v>
      </c>
      <c r="N275" s="73">
        <f>Table1[[#This Row],[unique-clicks]] / Table1[[#This Row],[unique-opens]] * 100</f>
        <v>13.333333333333334</v>
      </c>
      <c r="O275" s="73">
        <f>(MIN(Table1[[#This Row],[unique-opens]]/Table1[[#This Row],[unique-sends]],1)*50
 + MIN(Table1[[#This Row],[unique-clicks]]/Table1[[#This Row],[unique-sends]],1)*50)
 * (1 + MIN(Table1[[#This Row],[unique-clicks]]/Table1[[#This Row],[unique-sends]],1))
 - ((Table1[[#This Row],[unsub]]/Table1[[#This Row],[unique-sends]]*100)*2)</f>
        <v>38.154044403876611</v>
      </c>
      <c r="P275" s="11" t="str">
        <f>IF(Table1[[#This Row],[Engagement Score]]&lt;30,"🔴",IF(Table1[[#This Row],[Engagement Score]]&lt;40,"🟡","🟢"))</f>
        <v>🟡</v>
      </c>
      <c r="Q275" s="23"/>
      <c r="R275" s="23"/>
      <c r="S275" s="23"/>
      <c r="T275" s="32"/>
    </row>
    <row r="276" spans="1:20" ht="32.1" customHeight="1">
      <c r="A276" s="14">
        <v>22</v>
      </c>
      <c r="B276" s="21" t="s">
        <v>269</v>
      </c>
      <c r="C276" s="65">
        <v>45992</v>
      </c>
      <c r="D276" s="80" t="s">
        <v>21</v>
      </c>
      <c r="E276" s="80" t="s">
        <v>22</v>
      </c>
      <c r="F276" s="14" t="s">
        <v>23</v>
      </c>
      <c r="G276" s="14">
        <v>226</v>
      </c>
      <c r="H276" s="14">
        <v>161</v>
      </c>
      <c r="I276" s="15">
        <v>59</v>
      </c>
      <c r="J276" s="14">
        <v>0</v>
      </c>
      <c r="K276" s="71">
        <f>(Table1[[#This Row],[unsub]]/Table1[[#This Row],[unique-sends]])*100</f>
        <v>0</v>
      </c>
      <c r="L276" s="72">
        <f>Table1[[#This Row],[unique-opens]] / Table1[[#This Row],[unique-sends]] * 100</f>
        <v>71.238938053097343</v>
      </c>
      <c r="M276" s="73">
        <f>Table1[[#This Row],[unique-clicks]] / Table1[[#This Row],[unique-sends]] * 100</f>
        <v>26.10619469026549</v>
      </c>
      <c r="N276" s="73">
        <f>Table1[[#This Row],[unique-clicks]] / Table1[[#This Row],[unique-opens]] * 100</f>
        <v>36.645962732919259</v>
      </c>
      <c r="O276" s="73">
        <f>(MIN(Table1[[#This Row],[unique-opens]]/Table1[[#This Row],[unique-sends]],1)*50
 + MIN(Table1[[#This Row],[unique-clicks]]/Table1[[#This Row],[unique-sends]],1)*50)
 * (1 + MIN(Table1[[#This Row],[unique-clicks]]/Table1[[#This Row],[unique-sends]],1))
 - ((Table1[[#This Row],[unsub]]/Table1[[#This Row],[unique-sends]]*100)*2)</f>
        <v>61.379121309421251</v>
      </c>
      <c r="P276" s="11" t="str">
        <f>IF(Table1[[#This Row],[Engagement Score]]&lt;30,"🔴",IF(Table1[[#This Row],[Engagement Score]]&lt;40,"🟡","🟢"))</f>
        <v>🟢</v>
      </c>
      <c r="Q276" s="23"/>
      <c r="R276" s="23"/>
      <c r="S276" s="23"/>
      <c r="T276" s="32"/>
    </row>
    <row r="277" spans="1:20" ht="32.1" customHeight="1">
      <c r="A277" s="14">
        <v>21</v>
      </c>
      <c r="B277" s="21" t="s">
        <v>270</v>
      </c>
      <c r="C277" s="65">
        <v>45992</v>
      </c>
      <c r="D277" s="80" t="s">
        <v>21</v>
      </c>
      <c r="E277" s="80" t="s">
        <v>22</v>
      </c>
      <c r="F277" s="14" t="s">
        <v>23</v>
      </c>
      <c r="G277" s="14">
        <v>214</v>
      </c>
      <c r="H277" s="14">
        <v>123</v>
      </c>
      <c r="I277" s="15">
        <v>22</v>
      </c>
      <c r="J277" s="8">
        <v>0</v>
      </c>
      <c r="K277" s="71">
        <f>(Table1[[#This Row],[unsub]]/Table1[[#This Row],[unique-sends]])*100</f>
        <v>0</v>
      </c>
      <c r="L277" s="72">
        <f>Table1[[#This Row],[unique-opens]] / Table1[[#This Row],[unique-sends]] * 100</f>
        <v>57.476635514018696</v>
      </c>
      <c r="M277" s="73">
        <f>Table1[[#This Row],[unique-clicks]] / Table1[[#This Row],[unique-sends]] * 100</f>
        <v>10.2803738317757</v>
      </c>
      <c r="N277" s="73">
        <f>Table1[[#This Row],[unique-clicks]] / Table1[[#This Row],[unique-opens]] * 100</f>
        <v>17.886178861788618</v>
      </c>
      <c r="O277" s="73">
        <f>(MIN(Table1[[#This Row],[unique-opens]]/Table1[[#This Row],[unique-sends]],1)*50
 + MIN(Table1[[#This Row],[unique-clicks]]/Table1[[#This Row],[unique-sends]],1)*50)
 * (1 + MIN(Table1[[#This Row],[unique-clicks]]/Table1[[#This Row],[unique-sends]],1))
 - ((Table1[[#This Row],[unsub]]/Table1[[#This Row],[unique-sends]]*100)*2)</f>
        <v>37.361341601886629</v>
      </c>
      <c r="P277" s="11" t="str">
        <f>IF(Table1[[#This Row],[Engagement Score]]&lt;30,"🔴",IF(Table1[[#This Row],[Engagement Score]]&lt;40,"🟡","🟢"))</f>
        <v>🟡</v>
      </c>
      <c r="Q277" s="23"/>
      <c r="R277" s="23"/>
      <c r="S277" s="23"/>
      <c r="T277" s="32"/>
    </row>
    <row r="278" spans="1:20" ht="32.1" customHeight="1">
      <c r="A278" s="8">
        <v>20</v>
      </c>
      <c r="B278" s="17" t="s">
        <v>271</v>
      </c>
      <c r="C278" s="65">
        <v>45992</v>
      </c>
      <c r="D278" s="79" t="s">
        <v>21</v>
      </c>
      <c r="E278" s="79" t="s">
        <v>22</v>
      </c>
      <c r="F278" s="8" t="s">
        <v>23</v>
      </c>
      <c r="G278" s="8">
        <v>428</v>
      </c>
      <c r="H278" s="8">
        <v>210</v>
      </c>
      <c r="I278" s="6">
        <v>17</v>
      </c>
      <c r="J278" s="8">
        <v>2</v>
      </c>
      <c r="K278" s="71">
        <f>(Table1[[#This Row],[unsub]]/Table1[[#This Row],[unique-sends]])*100</f>
        <v>0.46728971962616817</v>
      </c>
      <c r="L278" s="72">
        <f>Table1[[#This Row],[unique-opens]] / Table1[[#This Row],[unique-sends]] * 100</f>
        <v>49.065420560747661</v>
      </c>
      <c r="M278" s="73">
        <f>Table1[[#This Row],[unique-clicks]] / Table1[[#This Row],[unique-sends]] * 100</f>
        <v>3.9719626168224296</v>
      </c>
      <c r="N278" s="73">
        <f>Table1[[#This Row],[unique-clicks]] / Table1[[#This Row],[unique-opens]] * 100</f>
        <v>8.0952380952380949</v>
      </c>
      <c r="O278" s="73">
        <f>(MIN(Table1[[#This Row],[unique-opens]]/Table1[[#This Row],[unique-sends]],1)*50
 + MIN(Table1[[#This Row],[unique-clicks]]/Table1[[#This Row],[unique-sends]],1)*50)
 * (1 + MIN(Table1[[#This Row],[unique-clicks]]/Table1[[#This Row],[unique-sends]],1))
 - ((Table1[[#This Row],[unsub]]/Table1[[#This Row],[unique-sends]]*100)*2)</f>
        <v>26.637424665909684</v>
      </c>
      <c r="P278" s="11" t="str">
        <f>IF(Table1[[#This Row],[Engagement Score]]&lt;30,"🔴",IF(Table1[[#This Row],[Engagement Score]]&lt;40,"🟡","🟢"))</f>
        <v>🔴</v>
      </c>
      <c r="Q278" s="23"/>
      <c r="R278" s="23"/>
      <c r="S278" s="23"/>
      <c r="T278" s="26"/>
    </row>
    <row r="279" spans="1:20" ht="32.1" customHeight="1">
      <c r="A279" s="14">
        <v>94</v>
      </c>
      <c r="B279" s="21" t="s">
        <v>272</v>
      </c>
      <c r="C279" s="66">
        <v>46000</v>
      </c>
      <c r="D279" s="80" t="s">
        <v>21</v>
      </c>
      <c r="E279" s="80" t="s">
        <v>26</v>
      </c>
      <c r="F279" s="14" t="s">
        <v>27</v>
      </c>
      <c r="G279" s="16">
        <v>161516</v>
      </c>
      <c r="H279" s="14">
        <v>76045</v>
      </c>
      <c r="I279" s="15">
        <v>3030</v>
      </c>
      <c r="J279" s="8">
        <v>132</v>
      </c>
      <c r="K279" s="71">
        <f>(Table1[[#This Row],[unsub]]/Table1[[#This Row],[unique-sends]])*100</f>
        <v>8.172564947125982E-2</v>
      </c>
      <c r="L279" s="72">
        <f>Table1[[#This Row],[unique-opens]] / Table1[[#This Row],[unique-sends]] * 100</f>
        <v>47.082022833651152</v>
      </c>
      <c r="M279" s="73">
        <f>Table1[[#This Row],[unique-clicks]] / Table1[[#This Row],[unique-sends]] * 100</f>
        <v>1.8759751355902818</v>
      </c>
      <c r="N279" s="73">
        <f>Table1[[#This Row],[unique-clicks]] / Table1[[#This Row],[unique-opens]] * 100</f>
        <v>3.984482871983694</v>
      </c>
      <c r="O279" s="73">
        <f>(MIN(Table1[[#This Row],[unique-opens]]/Table1[[#This Row],[unique-sends]],1)*50
 + MIN(Table1[[#This Row],[unique-clicks]]/Table1[[#This Row],[unique-sends]],1)*50)
 * (1 + MIN(Table1[[#This Row],[unique-clicks]]/Table1[[#This Row],[unique-sends]],1))
 - ((Table1[[#This Row],[unsub]]/Table1[[#This Row],[unique-sends]]*100)*2)</f>
        <v>24.774767620071078</v>
      </c>
      <c r="P279" s="11" t="str">
        <f>IF(Table1[[#This Row],[Engagement Score]]&lt;30,"🔴",IF(Table1[[#This Row],[Engagement Score]]&lt;40,"🟡","🟢"))</f>
        <v>🔴</v>
      </c>
      <c r="Q279" s="8">
        <v>73.2</v>
      </c>
      <c r="R279" s="8">
        <v>16.100000000000001</v>
      </c>
      <c r="S279" s="8">
        <v>10.7</v>
      </c>
      <c r="T279" s="18" t="s">
        <v>273</v>
      </c>
    </row>
    <row r="280" spans="1:20" ht="32.1" customHeight="1">
      <c r="A280" s="14">
        <v>95</v>
      </c>
      <c r="B280" s="22" t="s">
        <v>274</v>
      </c>
      <c r="C280" s="66">
        <v>46009</v>
      </c>
      <c r="D280" s="80" t="s">
        <v>29</v>
      </c>
      <c r="E280" s="80" t="s">
        <v>26</v>
      </c>
      <c r="F280" s="14" t="s">
        <v>27</v>
      </c>
      <c r="G280" s="14">
        <v>169</v>
      </c>
      <c r="H280" s="14">
        <v>123</v>
      </c>
      <c r="I280" s="15">
        <v>5</v>
      </c>
      <c r="J280" s="8">
        <v>0</v>
      </c>
      <c r="K280" s="71">
        <f>(Table1[[#This Row],[unsub]]/Table1[[#This Row],[unique-sends]])*100</f>
        <v>0</v>
      </c>
      <c r="L280" s="72">
        <f>Table1[[#This Row],[unique-opens]] / Table1[[#This Row],[unique-sends]] * 100</f>
        <v>72.781065088757401</v>
      </c>
      <c r="M280" s="73">
        <f>Table1[[#This Row],[unique-clicks]] / Table1[[#This Row],[unique-sends]] * 100</f>
        <v>2.9585798816568047</v>
      </c>
      <c r="N280" s="73">
        <f>Table1[[#This Row],[unique-clicks]] / Table1[[#This Row],[unique-opens]] * 100</f>
        <v>4.0650406504065035</v>
      </c>
      <c r="O280" s="73">
        <f>(MIN(Table1[[#This Row],[unique-opens]]/Table1[[#This Row],[unique-sends]],1)*50
 + MIN(Table1[[#This Row],[unique-clicks]]/Table1[[#This Row],[unique-sends]],1)*50)
 * (1 + MIN(Table1[[#This Row],[unique-clicks]]/Table1[[#This Row],[unique-sends]],1))
 - ((Table1[[#This Row],[unsub]]/Table1[[#This Row],[unique-sends]]*100)*2)</f>
        <v>38.990231434473579</v>
      </c>
      <c r="P280" s="11" t="str">
        <f>IF(Table1[[#This Row],[Engagement Score]]&lt;30,"🔴",IF(Table1[[#This Row],[Engagement Score]]&lt;40,"🟡","🟢"))</f>
        <v>🟡</v>
      </c>
      <c r="Q280" s="8">
        <v>40</v>
      </c>
      <c r="R280" s="8">
        <v>26.7</v>
      </c>
      <c r="S280" s="8">
        <v>33.299999999999997</v>
      </c>
      <c r="T280" s="18" t="s">
        <v>275</v>
      </c>
    </row>
    <row r="281" spans="1:20" ht="32.1" customHeight="1">
      <c r="A281" s="8">
        <v>93</v>
      </c>
      <c r="B281" s="17" t="s">
        <v>276</v>
      </c>
      <c r="C281" s="66">
        <v>46027</v>
      </c>
      <c r="D281" s="79" t="s">
        <v>21</v>
      </c>
      <c r="E281" s="78" t="s">
        <v>22</v>
      </c>
      <c r="F281" s="14" t="s">
        <v>23</v>
      </c>
      <c r="G281" s="8">
        <v>209</v>
      </c>
      <c r="H281" s="8">
        <v>124</v>
      </c>
      <c r="I281" s="6">
        <v>6</v>
      </c>
      <c r="J281" s="8">
        <v>0</v>
      </c>
      <c r="K281" s="71">
        <f>(Table1[[#This Row],[unsub]]/Table1[[#This Row],[unique-sends]])*100</f>
        <v>0</v>
      </c>
      <c r="L281" s="72">
        <f>Table1[[#This Row],[unique-opens]] / Table1[[#This Row],[unique-sends]] * 100</f>
        <v>59.330143540669852</v>
      </c>
      <c r="M281" s="73">
        <f>Table1[[#This Row],[unique-clicks]] / Table1[[#This Row],[unique-sends]] * 100</f>
        <v>2.8708133971291865</v>
      </c>
      <c r="N281" s="73">
        <f>Table1[[#This Row],[unique-clicks]] / Table1[[#This Row],[unique-opens]] * 100</f>
        <v>4.838709677419355</v>
      </c>
      <c r="O281" s="73">
        <f>(MIN(Table1[[#This Row],[unique-opens]]/Table1[[#This Row],[unique-sends]],1)*50
 + MIN(Table1[[#This Row],[unique-clicks]]/Table1[[#This Row],[unique-sends]],1)*50)
 * (1 + MIN(Table1[[#This Row],[unique-clicks]]/Table1[[#This Row],[unique-sends]],1))
 - ((Table1[[#This Row],[unsub]]/Table1[[#This Row],[unique-sends]]*100)*2)</f>
        <v>31.99331517135596</v>
      </c>
      <c r="P281" s="11" t="str">
        <f>IF(Table1[[#This Row],[Engagement Score]]&lt;30,"🔴",IF(Table1[[#This Row],[Engagement Score]]&lt;40,"🟡","🟢"))</f>
        <v>🟡</v>
      </c>
      <c r="Q281" s="8">
        <v>47.4</v>
      </c>
      <c r="R281" s="8">
        <v>36.799999999999997</v>
      </c>
      <c r="S281" s="8">
        <v>15.8</v>
      </c>
      <c r="T281" s="18" t="s">
        <v>250</v>
      </c>
    </row>
    <row r="282" spans="1:20" ht="32.1" customHeight="1">
      <c r="A282" s="8">
        <v>93</v>
      </c>
      <c r="B282" s="17" t="s">
        <v>277</v>
      </c>
      <c r="C282" s="66">
        <v>46027</v>
      </c>
      <c r="D282" s="79" t="s">
        <v>21</v>
      </c>
      <c r="E282" s="79" t="s">
        <v>22</v>
      </c>
      <c r="F282" s="8" t="s">
        <v>23</v>
      </c>
      <c r="G282" s="8">
        <v>375</v>
      </c>
      <c r="H282" s="8">
        <v>248</v>
      </c>
      <c r="I282" s="6">
        <v>24</v>
      </c>
      <c r="J282" s="8">
        <v>0</v>
      </c>
      <c r="K282" s="71">
        <f>(Table1[[#This Row],[unsub]]/Table1[[#This Row],[unique-sends]])*100</f>
        <v>0</v>
      </c>
      <c r="L282" s="72">
        <f>Table1[[#This Row],[unique-opens]] / Table1[[#This Row],[unique-sends]] * 100</f>
        <v>66.133333333333326</v>
      </c>
      <c r="M282" s="73">
        <f>Table1[[#This Row],[unique-clicks]] / Table1[[#This Row],[unique-sends]] * 100</f>
        <v>6.4</v>
      </c>
      <c r="N282" s="73">
        <f>Table1[[#This Row],[unique-clicks]] / Table1[[#This Row],[unique-opens]] * 100</f>
        <v>9.67741935483871</v>
      </c>
      <c r="O282" s="73">
        <f>(MIN(Table1[[#This Row],[unique-opens]]/Table1[[#This Row],[unique-sends]],1)*50
 + MIN(Table1[[#This Row],[unique-clicks]]/Table1[[#This Row],[unique-sends]],1)*50)
 * (1 + MIN(Table1[[#This Row],[unique-clicks]]/Table1[[#This Row],[unique-sends]],1))
 - ((Table1[[#This Row],[unsub]]/Table1[[#This Row],[unique-sends]]*100)*2)</f>
        <v>38.587733333333333</v>
      </c>
      <c r="P282" s="11" t="str">
        <f>IF(Table1[[#This Row],[Engagement Score]]&lt;30,"🔴",IF(Table1[[#This Row],[Engagement Score]]&lt;40,"🟡","🟢"))</f>
        <v>🟡</v>
      </c>
      <c r="Q282" s="8">
        <v>72</v>
      </c>
      <c r="R282" s="8">
        <v>18</v>
      </c>
      <c r="S282" s="8">
        <v>10</v>
      </c>
      <c r="T282" s="18" t="s">
        <v>252</v>
      </c>
    </row>
    <row r="283" spans="1:20" ht="32.1" customHeight="1">
      <c r="A283" s="8">
        <v>93</v>
      </c>
      <c r="B283" s="17" t="s">
        <v>278</v>
      </c>
      <c r="C283" s="66">
        <v>46027</v>
      </c>
      <c r="D283" s="79" t="s">
        <v>21</v>
      </c>
      <c r="E283" s="79" t="s">
        <v>22</v>
      </c>
      <c r="F283" s="8" t="s">
        <v>23</v>
      </c>
      <c r="G283" s="8">
        <v>546</v>
      </c>
      <c r="H283" s="8">
        <v>333</v>
      </c>
      <c r="I283" s="6">
        <v>35</v>
      </c>
      <c r="J283" s="8">
        <v>0</v>
      </c>
      <c r="K283" s="71">
        <f>(Table1[[#This Row],[unsub]]/Table1[[#This Row],[unique-sends]])*100</f>
        <v>0</v>
      </c>
      <c r="L283" s="72">
        <f>Table1[[#This Row],[unique-opens]] / Table1[[#This Row],[unique-sends]] * 100</f>
        <v>60.989010989010993</v>
      </c>
      <c r="M283" s="73">
        <f>Table1[[#This Row],[unique-clicks]] / Table1[[#This Row],[unique-sends]] * 100</f>
        <v>6.4102564102564097</v>
      </c>
      <c r="N283" s="73">
        <f>Table1[[#This Row],[unique-clicks]] / Table1[[#This Row],[unique-opens]] * 100</f>
        <v>10.51051051051051</v>
      </c>
      <c r="O283" s="73">
        <f>(MIN(Table1[[#This Row],[unique-opens]]/Table1[[#This Row],[unique-sends]],1)*50
 + MIN(Table1[[#This Row],[unique-clicks]]/Table1[[#This Row],[unique-sends]],1)*50)
 * (1 + MIN(Table1[[#This Row],[unique-clicks]]/Table1[[#This Row],[unique-sends]],1))
 - ((Table1[[#This Row],[unsub]]/Table1[[#This Row],[unique-sends]]*100)*2)</f>
        <v>35.859866629097397</v>
      </c>
      <c r="P283" s="11" t="str">
        <f>IF(Table1[[#This Row],[Engagement Score]]&lt;30,"🔴",IF(Table1[[#This Row],[Engagement Score]]&lt;40,"🟡","🟢"))</f>
        <v>🟡</v>
      </c>
      <c r="Q283" s="14">
        <v>80</v>
      </c>
      <c r="R283" s="8">
        <v>20</v>
      </c>
      <c r="S283" s="8">
        <v>0</v>
      </c>
      <c r="T283" s="18" t="s">
        <v>254</v>
      </c>
    </row>
    <row r="284" spans="1:20" ht="32.1" customHeight="1">
      <c r="A284" s="8">
        <v>93</v>
      </c>
      <c r="B284" s="17" t="s">
        <v>279</v>
      </c>
      <c r="C284" s="66">
        <v>46027</v>
      </c>
      <c r="D284" s="79" t="s">
        <v>21</v>
      </c>
      <c r="E284" s="79" t="s">
        <v>22</v>
      </c>
      <c r="F284" s="8" t="s">
        <v>23</v>
      </c>
      <c r="G284" s="8">
        <v>504</v>
      </c>
      <c r="H284" s="8">
        <v>262</v>
      </c>
      <c r="I284" s="6">
        <v>29</v>
      </c>
      <c r="J284" s="8">
        <v>0</v>
      </c>
      <c r="K284" s="71">
        <f>(Table1[[#This Row],[unsub]]/Table1[[#This Row],[unique-sends]])*100</f>
        <v>0</v>
      </c>
      <c r="L284" s="72">
        <f>Table1[[#This Row],[unique-opens]] / Table1[[#This Row],[unique-sends]] * 100</f>
        <v>51.984126984126988</v>
      </c>
      <c r="M284" s="73">
        <f>Table1[[#This Row],[unique-clicks]] / Table1[[#This Row],[unique-sends]] * 100</f>
        <v>5.753968253968254</v>
      </c>
      <c r="N284" s="73">
        <f>Table1[[#This Row],[unique-clicks]] / Table1[[#This Row],[unique-opens]] * 100</f>
        <v>11.068702290076336</v>
      </c>
      <c r="O284" s="73">
        <f>(MIN(Table1[[#This Row],[unique-opens]]/Table1[[#This Row],[unique-sends]],1)*50
 + MIN(Table1[[#This Row],[unique-clicks]]/Table1[[#This Row],[unique-sends]],1)*50)
 * (1 + MIN(Table1[[#This Row],[unique-clicks]]/Table1[[#This Row],[unique-sends]],1))
 - ((Table1[[#This Row],[unsub]]/Table1[[#This Row],[unique-sends]]*100)*2)</f>
        <v>30.5301634542706</v>
      </c>
      <c r="P284" s="11" t="str">
        <f>IF(Table1[[#This Row],[Engagement Score]]&lt;30,"🔴",IF(Table1[[#This Row],[Engagement Score]]&lt;40,"🟡","🟢"))</f>
        <v>🟡</v>
      </c>
      <c r="Q284" s="8">
        <v>75</v>
      </c>
      <c r="R284" s="8">
        <v>13.3</v>
      </c>
      <c r="S284" s="8">
        <v>11.7</v>
      </c>
      <c r="T284" s="18" t="s">
        <v>256</v>
      </c>
    </row>
    <row r="285" spans="1:20" ht="32.1" customHeight="1">
      <c r="A285" s="14">
        <v>43</v>
      </c>
      <c r="B285" s="21" t="s">
        <v>280</v>
      </c>
      <c r="C285" s="66">
        <v>46027</v>
      </c>
      <c r="D285" s="80" t="s">
        <v>21</v>
      </c>
      <c r="E285" s="80" t="s">
        <v>22</v>
      </c>
      <c r="F285" s="14" t="s">
        <v>23</v>
      </c>
      <c r="G285" s="14">
        <v>97</v>
      </c>
      <c r="H285" s="14">
        <v>61</v>
      </c>
      <c r="I285" s="15">
        <v>5</v>
      </c>
      <c r="J285" s="23">
        <v>0</v>
      </c>
      <c r="K285" s="71">
        <f>(Table1[[#This Row],[unsub]]/Table1[[#This Row],[unique-sends]])*100</f>
        <v>0</v>
      </c>
      <c r="L285" s="72">
        <f>Table1[[#This Row],[unique-opens]] / Table1[[#This Row],[unique-sends]] * 100</f>
        <v>62.886597938144327</v>
      </c>
      <c r="M285" s="73">
        <f>Table1[[#This Row],[unique-clicks]] / Table1[[#This Row],[unique-sends]] * 100</f>
        <v>5.1546391752577314</v>
      </c>
      <c r="N285" s="73">
        <f>Table1[[#This Row],[unique-clicks]] / Table1[[#This Row],[unique-opens]] * 100</f>
        <v>8.1967213114754092</v>
      </c>
      <c r="O285" s="73">
        <f>(MIN(Table1[[#This Row],[unique-opens]]/Table1[[#This Row],[unique-sends]],1)*50
 + MIN(Table1[[#This Row],[unique-clicks]]/Table1[[#This Row],[unique-sends]],1)*50)
 * (1 + MIN(Table1[[#This Row],[unique-clicks]]/Table1[[#This Row],[unique-sends]],1))
 - ((Table1[[#This Row],[unsub]]/Table1[[#This Row],[unique-sends]]*100)*2)</f>
        <v>35.774258688489745</v>
      </c>
      <c r="P285" s="11" t="str">
        <f>IF(Table1[[#This Row],[Engagement Score]]&lt;30,"🔴",IF(Table1[[#This Row],[Engagement Score]]&lt;40,"🟡","🟢"))</f>
        <v>🟡</v>
      </c>
      <c r="Q285" s="23"/>
      <c r="R285" s="23"/>
      <c r="S285" s="23"/>
      <c r="T285" s="26"/>
    </row>
    <row r="286" spans="1:20" ht="32.1" customHeight="1">
      <c r="A286" s="8">
        <v>44</v>
      </c>
      <c r="B286" s="17" t="s">
        <v>281</v>
      </c>
      <c r="C286" s="66">
        <v>46027</v>
      </c>
      <c r="D286" s="79" t="s">
        <v>21</v>
      </c>
      <c r="E286" s="79" t="s">
        <v>22</v>
      </c>
      <c r="F286" s="8" t="s">
        <v>23</v>
      </c>
      <c r="G286" s="8">
        <v>779</v>
      </c>
      <c r="H286" s="8">
        <v>447</v>
      </c>
      <c r="I286" s="6">
        <v>52</v>
      </c>
      <c r="J286" s="23">
        <v>1</v>
      </c>
      <c r="K286" s="71">
        <f>(Table1[[#This Row],[unsub]]/Table1[[#This Row],[unique-sends]])*100</f>
        <v>0.12836970474967907</v>
      </c>
      <c r="L286" s="72">
        <f>Table1[[#This Row],[unique-opens]] / Table1[[#This Row],[unique-sends]] * 100</f>
        <v>57.381258023106554</v>
      </c>
      <c r="M286" s="73">
        <f>Table1[[#This Row],[unique-clicks]] / Table1[[#This Row],[unique-sends]] * 100</f>
        <v>6.6752246469833114</v>
      </c>
      <c r="N286" s="73">
        <f>Table1[[#This Row],[unique-clicks]] / Table1[[#This Row],[unique-opens]] * 100</f>
        <v>11.633109619686801</v>
      </c>
      <c r="O286" s="73">
        <f>(MIN(Table1[[#This Row],[unique-opens]]/Table1[[#This Row],[unique-sends]],1)*50
 + MIN(Table1[[#This Row],[unique-clicks]]/Table1[[#This Row],[unique-sends]],1)*50)
 * (1 + MIN(Table1[[#This Row],[unique-clicks]]/Table1[[#This Row],[unique-sends]],1))
 - ((Table1[[#This Row],[unsub]]/Table1[[#This Row],[unique-sends]]*100)*2)</f>
        <v>33.909458985137789</v>
      </c>
      <c r="P286" s="11" t="str">
        <f>IF(Table1[[#This Row],[Engagement Score]]&lt;30,"🔴",IF(Table1[[#This Row],[Engagement Score]]&lt;40,"🟡","🟢"))</f>
        <v>🟡</v>
      </c>
      <c r="Q286" s="23" t="s">
        <v>24</v>
      </c>
      <c r="R286" s="23" t="s">
        <v>24</v>
      </c>
      <c r="S286" s="23" t="s">
        <v>24</v>
      </c>
      <c r="T286" s="27" t="s">
        <v>24</v>
      </c>
    </row>
    <row r="287" spans="1:20" ht="32.1" customHeight="1">
      <c r="A287" s="8">
        <v>38</v>
      </c>
      <c r="B287" s="17" t="s">
        <v>282</v>
      </c>
      <c r="C287" s="66">
        <v>46027</v>
      </c>
      <c r="D287" s="79" t="s">
        <v>21</v>
      </c>
      <c r="E287" s="79" t="s">
        <v>22</v>
      </c>
      <c r="F287" s="8" t="s">
        <v>23</v>
      </c>
      <c r="G287" s="8">
        <v>113</v>
      </c>
      <c r="H287" s="8">
        <v>75</v>
      </c>
      <c r="I287" s="6">
        <v>27</v>
      </c>
      <c r="J287" s="23">
        <v>0</v>
      </c>
      <c r="K287" s="71">
        <f>(Table1[[#This Row],[unsub]]/Table1[[#This Row],[unique-sends]])*100</f>
        <v>0</v>
      </c>
      <c r="L287" s="72">
        <f>Table1[[#This Row],[unique-opens]] / Table1[[#This Row],[unique-sends]] * 100</f>
        <v>66.371681415929203</v>
      </c>
      <c r="M287" s="73">
        <f>Table1[[#This Row],[unique-clicks]] / Table1[[#This Row],[unique-sends]] * 100</f>
        <v>23.893805309734514</v>
      </c>
      <c r="N287" s="73">
        <f>Table1[[#This Row],[unique-clicks]] / Table1[[#This Row],[unique-opens]] * 100</f>
        <v>36</v>
      </c>
      <c r="O287" s="73">
        <f>(MIN(Table1[[#This Row],[unique-opens]]/Table1[[#This Row],[unique-sends]],1)*50
 + MIN(Table1[[#This Row],[unique-clicks]]/Table1[[#This Row],[unique-sends]],1)*50)
 * (1 + MIN(Table1[[#This Row],[unique-clicks]]/Table1[[#This Row],[unique-sends]],1))
 - ((Table1[[#This Row],[unsub]]/Table1[[#This Row],[unique-sends]]*100)*2)</f>
        <v>55.916673192889029</v>
      </c>
      <c r="P287" s="11" t="str">
        <f>IF(Table1[[#This Row],[Engagement Score]]&lt;30,"🔴",IF(Table1[[#This Row],[Engagement Score]]&lt;40,"🟡","🟢"))</f>
        <v>🟢</v>
      </c>
      <c r="Q287" s="23"/>
      <c r="R287" s="23"/>
      <c r="S287" s="23"/>
      <c r="T287" s="26"/>
    </row>
    <row r="288" spans="1:20" ht="32.1" customHeight="1">
      <c r="A288" s="14">
        <v>35</v>
      </c>
      <c r="B288" s="21" t="s">
        <v>283</v>
      </c>
      <c r="C288" s="66">
        <v>46027</v>
      </c>
      <c r="D288" s="80" t="s">
        <v>21</v>
      </c>
      <c r="E288" s="80" t="s">
        <v>22</v>
      </c>
      <c r="F288" s="14" t="s">
        <v>23</v>
      </c>
      <c r="G288" s="16">
        <v>1615</v>
      </c>
      <c r="H288" s="14">
        <v>930</v>
      </c>
      <c r="I288" s="15">
        <v>99</v>
      </c>
      <c r="J288" s="23">
        <v>4</v>
      </c>
      <c r="K288" s="71">
        <f>(Table1[[#This Row],[unsub]]/Table1[[#This Row],[unique-sends]])*100</f>
        <v>0.24767801857585142</v>
      </c>
      <c r="L288" s="72">
        <f>Table1[[#This Row],[unique-opens]] / Table1[[#This Row],[unique-sends]] * 100</f>
        <v>57.585139318885446</v>
      </c>
      <c r="M288" s="73">
        <f>Table1[[#This Row],[unique-clicks]] / Table1[[#This Row],[unique-sends]] * 100</f>
        <v>6.1300309597523226</v>
      </c>
      <c r="N288" s="73">
        <f>Table1[[#This Row],[unique-clicks]] / Table1[[#This Row],[unique-opens]] * 100</f>
        <v>10.64516129032258</v>
      </c>
      <c r="O288" s="73">
        <f>(MIN(Table1[[#This Row],[unique-opens]]/Table1[[#This Row],[unique-sends]],1)*50
 + MIN(Table1[[#This Row],[unique-clicks]]/Table1[[#This Row],[unique-sends]],1)*50)
 * (1 + MIN(Table1[[#This Row],[unique-clicks]]/Table1[[#This Row],[unique-sends]],1))
 - ((Table1[[#This Row],[unsub]]/Table1[[#This Row],[unique-sends]]*100)*2)</f>
        <v>33.315108934236889</v>
      </c>
      <c r="P288" s="11" t="str">
        <f>IF(Table1[[#This Row],[Engagement Score]]&lt;30,"🔴",IF(Table1[[#This Row],[Engagement Score]]&lt;40,"🟡","🟢"))</f>
        <v>🟡</v>
      </c>
      <c r="Q288" s="23">
        <v>94.3</v>
      </c>
      <c r="R288" s="23">
        <v>5.7</v>
      </c>
      <c r="S288" s="23">
        <v>0</v>
      </c>
      <c r="T288" s="29" t="s">
        <v>261</v>
      </c>
    </row>
    <row r="289" spans="1:20" ht="32.1" customHeight="1">
      <c r="A289" s="14">
        <v>36</v>
      </c>
      <c r="B289" s="21" t="s">
        <v>283</v>
      </c>
      <c r="C289" s="66">
        <v>46027</v>
      </c>
      <c r="D289" s="80" t="s">
        <v>29</v>
      </c>
      <c r="E289" s="80" t="s">
        <v>22</v>
      </c>
      <c r="F289" s="14" t="s">
        <v>23</v>
      </c>
      <c r="G289" s="14">
        <v>60</v>
      </c>
      <c r="H289" s="14">
        <v>45</v>
      </c>
      <c r="I289" s="15">
        <v>6</v>
      </c>
      <c r="J289" s="23">
        <v>0</v>
      </c>
      <c r="K289" s="71">
        <f>(Table1[[#This Row],[unsub]]/Table1[[#This Row],[unique-sends]])*100</f>
        <v>0</v>
      </c>
      <c r="L289" s="72">
        <f>Table1[[#This Row],[unique-opens]] / Table1[[#This Row],[unique-sends]] * 100</f>
        <v>75</v>
      </c>
      <c r="M289" s="73">
        <f>Table1[[#This Row],[unique-clicks]] / Table1[[#This Row],[unique-sends]] * 100</f>
        <v>10</v>
      </c>
      <c r="N289" s="73">
        <f>Table1[[#This Row],[unique-clicks]] / Table1[[#This Row],[unique-opens]] * 100</f>
        <v>13.333333333333334</v>
      </c>
      <c r="O289" s="73">
        <f>(MIN(Table1[[#This Row],[unique-opens]]/Table1[[#This Row],[unique-sends]],1)*50
 + MIN(Table1[[#This Row],[unique-clicks]]/Table1[[#This Row],[unique-sends]],1)*50)
 * (1 + MIN(Table1[[#This Row],[unique-clicks]]/Table1[[#This Row],[unique-sends]],1))
 - ((Table1[[#This Row],[unsub]]/Table1[[#This Row],[unique-sends]]*100)*2)</f>
        <v>46.750000000000007</v>
      </c>
      <c r="P289" s="11" t="str">
        <f>IF(Table1[[#This Row],[Engagement Score]]&lt;30,"🔴",IF(Table1[[#This Row],[Engagement Score]]&lt;40,"🟡","🟢"))</f>
        <v>🟢</v>
      </c>
      <c r="Q289" s="23" t="s">
        <v>24</v>
      </c>
      <c r="R289" s="23" t="s">
        <v>24</v>
      </c>
      <c r="S289" s="23" t="s">
        <v>24</v>
      </c>
      <c r="T289" s="27" t="s">
        <v>24</v>
      </c>
    </row>
    <row r="290" spans="1:20" ht="32.1" customHeight="1">
      <c r="A290" s="14">
        <v>34</v>
      </c>
      <c r="B290" s="21" t="s">
        <v>262</v>
      </c>
      <c r="C290" s="66">
        <v>46027</v>
      </c>
      <c r="D290" s="80" t="s">
        <v>21</v>
      </c>
      <c r="E290" s="80" t="s">
        <v>22</v>
      </c>
      <c r="F290" s="14" t="s">
        <v>23</v>
      </c>
      <c r="G290" s="16">
        <v>4460</v>
      </c>
      <c r="H290" s="14">
        <v>3202</v>
      </c>
      <c r="I290" s="15">
        <v>111</v>
      </c>
      <c r="J290" s="23">
        <v>8</v>
      </c>
      <c r="K290" s="71">
        <f>(Table1[[#This Row],[unsub]]/Table1[[#This Row],[unique-sends]])*100</f>
        <v>0.17937219730941703</v>
      </c>
      <c r="L290" s="72">
        <f>Table1[[#This Row],[unique-opens]] / Table1[[#This Row],[unique-sends]] * 100</f>
        <v>71.793721973094165</v>
      </c>
      <c r="M290" s="73">
        <f>Table1[[#This Row],[unique-clicks]] / Table1[[#This Row],[unique-sends]] * 100</f>
        <v>2.4887892376681613</v>
      </c>
      <c r="N290" s="73">
        <f>Table1[[#This Row],[unique-clicks]] / Table1[[#This Row],[unique-opens]] * 100</f>
        <v>3.4665833853841352</v>
      </c>
      <c r="O290" s="73">
        <f>(MIN(Table1[[#This Row],[unique-opens]]/Table1[[#This Row],[unique-sends]],1)*50
 + MIN(Table1[[#This Row],[unique-clicks]]/Table1[[#This Row],[unique-sends]],1)*50)
 * (1 + MIN(Table1[[#This Row],[unique-clicks]]/Table1[[#This Row],[unique-sends]],1))
 - ((Table1[[#This Row],[unsub]]/Table1[[#This Row],[unique-sends]]*100)*2)</f>
        <v>37.706878783003873</v>
      </c>
      <c r="P290" s="11" t="str">
        <f>IF(Table1[[#This Row],[Engagement Score]]&lt;30,"🔴",IF(Table1[[#This Row],[Engagement Score]]&lt;40,"🟡","🟢"))</f>
        <v>🟡</v>
      </c>
      <c r="Q290" s="23"/>
      <c r="R290" s="23"/>
      <c r="S290" s="23"/>
      <c r="T290" s="26"/>
    </row>
    <row r="291" spans="1:20" ht="32.1" customHeight="1">
      <c r="A291" s="14">
        <v>14</v>
      </c>
      <c r="B291" s="21" t="s">
        <v>263</v>
      </c>
      <c r="C291" s="66">
        <v>46023</v>
      </c>
      <c r="D291" s="80" t="s">
        <v>21</v>
      </c>
      <c r="E291" s="80" t="s">
        <v>22</v>
      </c>
      <c r="F291" s="14" t="s">
        <v>23</v>
      </c>
      <c r="G291" s="16">
        <v>1871</v>
      </c>
      <c r="H291" s="14">
        <v>1799</v>
      </c>
      <c r="I291" s="15">
        <v>46</v>
      </c>
      <c r="J291" s="23">
        <v>9</v>
      </c>
      <c r="K291" s="71">
        <f>(Table1[[#This Row],[unsub]]/Table1[[#This Row],[unique-sends]])*100</f>
        <v>0.48102618920363438</v>
      </c>
      <c r="L291" s="72">
        <f>Table1[[#This Row],[unique-opens]] / Table1[[#This Row],[unique-sends]] * 100</f>
        <v>96.151790486370928</v>
      </c>
      <c r="M291" s="73">
        <f>Table1[[#This Row],[unique-clicks]] / Table1[[#This Row],[unique-sends]] * 100</f>
        <v>2.4585783003741315</v>
      </c>
      <c r="N291" s="73">
        <f>Table1[[#This Row],[unique-clicks]] / Table1[[#This Row],[unique-opens]] * 100</f>
        <v>2.5569760978321288</v>
      </c>
      <c r="O291" s="73">
        <f>(MIN(Table1[[#This Row],[unique-opens]]/Table1[[#This Row],[unique-sends]],1)*50
 + MIN(Table1[[#This Row],[unique-clicks]]/Table1[[#This Row],[unique-sends]],1)*50)
 * (1 + MIN(Table1[[#This Row],[unique-clicks]]/Table1[[#This Row],[unique-sends]],1))
 - ((Table1[[#This Row],[unsub]]/Table1[[#This Row],[unique-sends]]*100)*2)</f>
        <v>49.555338579420166</v>
      </c>
      <c r="P291" s="11" t="str">
        <f>IF(Table1[[#This Row],[Engagement Score]]&lt;30,"🔴",IF(Table1[[#This Row],[Engagement Score]]&lt;40,"🟡","🟢"))</f>
        <v>🟢</v>
      </c>
      <c r="Q291" s="23" t="s">
        <v>24</v>
      </c>
      <c r="R291" s="23" t="s">
        <v>24</v>
      </c>
      <c r="S291" s="23" t="s">
        <v>24</v>
      </c>
      <c r="T291" s="27" t="s">
        <v>24</v>
      </c>
    </row>
    <row r="292" spans="1:20" ht="32.1" customHeight="1">
      <c r="A292" s="14">
        <v>87</v>
      </c>
      <c r="B292" s="21" t="s">
        <v>264</v>
      </c>
      <c r="C292" s="66">
        <v>46023</v>
      </c>
      <c r="D292" s="80" t="s">
        <v>29</v>
      </c>
      <c r="E292" s="80" t="s">
        <v>22</v>
      </c>
      <c r="F292" s="14" t="s">
        <v>23</v>
      </c>
      <c r="G292" s="14">
        <v>264</v>
      </c>
      <c r="H292" s="14">
        <v>154</v>
      </c>
      <c r="I292" s="15">
        <v>13</v>
      </c>
      <c r="J292" s="8">
        <v>2</v>
      </c>
      <c r="K292" s="71">
        <f>(Table1[[#This Row],[unsub]]/Table1[[#This Row],[unique-sends]])*100</f>
        <v>0.75757575757575757</v>
      </c>
      <c r="L292" s="72">
        <f>Table1[[#This Row],[unique-opens]] / Table1[[#This Row],[unique-sends]] * 100</f>
        <v>58.333333333333336</v>
      </c>
      <c r="M292" s="73">
        <f>Table1[[#This Row],[unique-clicks]] / Table1[[#This Row],[unique-sends]] * 100</f>
        <v>4.9242424242424239</v>
      </c>
      <c r="N292" s="73">
        <f>Table1[[#This Row],[unique-clicks]] / Table1[[#This Row],[unique-opens]] * 100</f>
        <v>8.4415584415584419</v>
      </c>
      <c r="O292" s="73">
        <f>(MIN(Table1[[#This Row],[unique-opens]]/Table1[[#This Row],[unique-sends]],1)*50
 + MIN(Table1[[#This Row],[unique-clicks]]/Table1[[#This Row],[unique-sends]],1)*50)
 * (1 + MIN(Table1[[#This Row],[unique-clicks]]/Table1[[#This Row],[unique-sends]],1))
 - ((Table1[[#This Row],[unsub]]/Table1[[#This Row],[unique-sends]]*100)*2)</f>
        <v>31.671114554637285</v>
      </c>
      <c r="P292" s="11" t="str">
        <f>IF(Table1[[#This Row],[Engagement Score]]&lt;30,"🔴",IF(Table1[[#This Row],[Engagement Score]]&lt;40,"🟡","🟢"))</f>
        <v>🟡</v>
      </c>
      <c r="Q292" s="8" t="s">
        <v>24</v>
      </c>
      <c r="R292" s="8" t="s">
        <v>24</v>
      </c>
      <c r="S292" s="8" t="s">
        <v>24</v>
      </c>
      <c r="T292" s="8" t="s">
        <v>24</v>
      </c>
    </row>
    <row r="293" spans="1:20" ht="32.1" customHeight="1">
      <c r="A293" s="14">
        <v>87</v>
      </c>
      <c r="B293" s="21" t="s">
        <v>264</v>
      </c>
      <c r="C293" s="66">
        <v>46023</v>
      </c>
      <c r="D293" s="80" t="s">
        <v>21</v>
      </c>
      <c r="E293" s="80" t="s">
        <v>22</v>
      </c>
      <c r="F293" s="14" t="s">
        <v>23</v>
      </c>
      <c r="G293" s="16">
        <v>5670</v>
      </c>
      <c r="H293" s="14">
        <v>2898</v>
      </c>
      <c r="I293" s="15">
        <v>241</v>
      </c>
      <c r="J293" s="8">
        <v>13</v>
      </c>
      <c r="K293" s="71">
        <f>(Table1[[#This Row],[unsub]]/Table1[[#This Row],[unique-sends]])*100</f>
        <v>0.22927689594356263</v>
      </c>
      <c r="L293" s="72">
        <f>Table1[[#This Row],[unique-opens]] / Table1[[#This Row],[unique-sends]] * 100</f>
        <v>51.111111111111107</v>
      </c>
      <c r="M293" s="73">
        <f>Table1[[#This Row],[unique-clicks]] / Table1[[#This Row],[unique-sends]] * 100</f>
        <v>4.2504409171075839</v>
      </c>
      <c r="N293" s="73">
        <f>Table1[[#This Row],[unique-clicks]] / Table1[[#This Row],[unique-opens]] * 100</f>
        <v>8.3160800552104899</v>
      </c>
      <c r="O293" s="73">
        <f>(MIN(Table1[[#This Row],[unique-opens]]/Table1[[#This Row],[unique-sends]],1)*50
 + MIN(Table1[[#This Row],[unique-clicks]]/Table1[[#This Row],[unique-sends]],1)*50)
 * (1 + MIN(Table1[[#This Row],[unique-clicks]]/Table1[[#This Row],[unique-sends]],1))
 - ((Table1[[#This Row],[unsub]]/Table1[[#This Row],[unique-sends]]*100)*2)</f>
        <v>28.398777252098821</v>
      </c>
      <c r="P293" s="11" t="str">
        <f>IF(Table1[[#This Row],[Engagement Score]]&lt;30,"🔴",IF(Table1[[#This Row],[Engagement Score]]&lt;40,"🟡","🟢"))</f>
        <v>🔴</v>
      </c>
      <c r="Q293" s="8" t="s">
        <v>24</v>
      </c>
      <c r="R293" s="8" t="s">
        <v>24</v>
      </c>
      <c r="S293" s="8" t="s">
        <v>24</v>
      </c>
      <c r="T293" s="8" t="s">
        <v>24</v>
      </c>
    </row>
    <row r="294" spans="1:20" ht="32.1" customHeight="1">
      <c r="A294" s="14">
        <v>51</v>
      </c>
      <c r="B294" s="21" t="s">
        <v>265</v>
      </c>
      <c r="C294" s="66">
        <v>46027</v>
      </c>
      <c r="D294" s="80" t="s">
        <v>21</v>
      </c>
      <c r="E294" s="80" t="s">
        <v>22</v>
      </c>
      <c r="F294" s="14" t="s">
        <v>23</v>
      </c>
      <c r="G294" s="14">
        <v>428</v>
      </c>
      <c r="H294" s="14">
        <v>354</v>
      </c>
      <c r="I294" s="15">
        <v>41</v>
      </c>
      <c r="J294" s="14">
        <v>4</v>
      </c>
      <c r="K294" s="71">
        <f>(Table1[[#This Row],[unsub]]/Table1[[#This Row],[unique-sends]])*100</f>
        <v>0.93457943925233633</v>
      </c>
      <c r="L294" s="72">
        <f>Table1[[#This Row],[unique-opens]] / Table1[[#This Row],[unique-sends]] * 100</f>
        <v>82.710280373831779</v>
      </c>
      <c r="M294" s="73">
        <f>Table1[[#This Row],[unique-clicks]] / Table1[[#This Row],[unique-sends]] * 100</f>
        <v>9.5794392523364476</v>
      </c>
      <c r="N294" s="73">
        <f>Table1[[#This Row],[unique-clicks]] / Table1[[#This Row],[unique-opens]] * 100</f>
        <v>11.581920903954803</v>
      </c>
      <c r="O294" s="73">
        <f>(MIN(Table1[[#This Row],[unique-opens]]/Table1[[#This Row],[unique-sends]],1)*50
 + MIN(Table1[[#This Row],[unique-clicks]]/Table1[[#This Row],[unique-sends]],1)*50)
 * (1 + MIN(Table1[[#This Row],[unique-clicks]]/Table1[[#This Row],[unique-sends]],1))
 - ((Table1[[#This Row],[unsub]]/Table1[[#This Row],[unique-sends]]*100)*2)</f>
        <v>48.696119748449647</v>
      </c>
      <c r="P294" s="11" t="str">
        <f>IF(Table1[[#This Row],[Engagement Score]]&lt;30,"🔴",IF(Table1[[#This Row],[Engagement Score]]&lt;40,"🟡","🟢"))</f>
        <v>🟢</v>
      </c>
      <c r="Q294" s="8">
        <v>0</v>
      </c>
      <c r="R294" s="8">
        <v>0</v>
      </c>
      <c r="S294" s="8">
        <v>0</v>
      </c>
      <c r="T294" s="14" t="s">
        <v>24</v>
      </c>
    </row>
    <row r="295" spans="1:20" ht="32.1" customHeight="1">
      <c r="A295" s="8">
        <v>53</v>
      </c>
      <c r="B295" s="17" t="s">
        <v>284</v>
      </c>
      <c r="C295" s="66">
        <v>46027</v>
      </c>
      <c r="D295" s="79" t="s">
        <v>29</v>
      </c>
      <c r="E295" s="79" t="s">
        <v>22</v>
      </c>
      <c r="F295" s="8" t="s">
        <v>23</v>
      </c>
      <c r="G295" s="8">
        <v>52</v>
      </c>
      <c r="H295" s="8">
        <v>38</v>
      </c>
      <c r="I295" s="6">
        <v>1</v>
      </c>
      <c r="J295" s="8">
        <v>0</v>
      </c>
      <c r="K295" s="71">
        <f>(Table1[[#This Row],[unsub]]/Table1[[#This Row],[unique-sends]])*100</f>
        <v>0</v>
      </c>
      <c r="L295" s="72">
        <f>Table1[[#This Row],[unique-opens]] / Table1[[#This Row],[unique-sends]] * 100</f>
        <v>73.076923076923066</v>
      </c>
      <c r="M295" s="73">
        <f>Table1[[#This Row],[unique-clicks]] / Table1[[#This Row],[unique-sends]] * 100</f>
        <v>1.9230769230769231</v>
      </c>
      <c r="N295" s="73">
        <f>Table1[[#This Row],[unique-clicks]] / Table1[[#This Row],[unique-opens]] * 100</f>
        <v>2.6315789473684208</v>
      </c>
      <c r="O295" s="73">
        <f>(MIN(Table1[[#This Row],[unique-opens]]/Table1[[#This Row],[unique-sends]],1)*50
 + MIN(Table1[[#This Row],[unique-clicks]]/Table1[[#This Row],[unique-sends]],1)*50)
 * (1 + MIN(Table1[[#This Row],[unique-clicks]]/Table1[[#This Row],[unique-sends]],1))
 - ((Table1[[#This Row],[unsub]]/Table1[[#This Row],[unique-sends]]*100)*2)</f>
        <v>38.22115384615384</v>
      </c>
      <c r="P295" s="11" t="str">
        <f>IF(Table1[[#This Row],[Engagement Score]]&lt;30,"🔴",IF(Table1[[#This Row],[Engagement Score]]&lt;40,"🟡","🟢"))</f>
        <v>🟡</v>
      </c>
      <c r="Q295" s="8">
        <v>0</v>
      </c>
      <c r="R295" s="8">
        <v>0</v>
      </c>
      <c r="S295" s="8">
        <v>0</v>
      </c>
      <c r="T295" s="8" t="s">
        <v>24</v>
      </c>
    </row>
    <row r="296" spans="1:20" ht="32.1" customHeight="1">
      <c r="A296" s="14">
        <v>79</v>
      </c>
      <c r="B296" s="21" t="s">
        <v>285</v>
      </c>
      <c r="C296" s="66">
        <v>46027</v>
      </c>
      <c r="D296" s="80" t="s">
        <v>21</v>
      </c>
      <c r="E296" s="80" t="s">
        <v>22</v>
      </c>
      <c r="F296" s="14" t="s">
        <v>23</v>
      </c>
      <c r="G296" s="16">
        <v>2270</v>
      </c>
      <c r="H296" s="14">
        <v>1476</v>
      </c>
      <c r="I296" s="15">
        <v>270</v>
      </c>
      <c r="J296" s="23">
        <v>2</v>
      </c>
      <c r="K296" s="71">
        <f>(Table1[[#This Row],[unsub]]/Table1[[#This Row],[unique-sends]])*100</f>
        <v>8.8105726872246701E-2</v>
      </c>
      <c r="L296" s="72">
        <f>Table1[[#This Row],[unique-opens]] / Table1[[#This Row],[unique-sends]] * 100</f>
        <v>65.022026431718061</v>
      </c>
      <c r="M296" s="73">
        <f>Table1[[#This Row],[unique-clicks]] / Table1[[#This Row],[unique-sends]] * 100</f>
        <v>11.894273127753303</v>
      </c>
      <c r="N296" s="73">
        <f>Table1[[#This Row],[unique-clicks]] / Table1[[#This Row],[unique-opens]] * 100</f>
        <v>18.292682926829269</v>
      </c>
      <c r="O296" s="73">
        <f>(MIN(Table1[[#This Row],[unique-opens]]/Table1[[#This Row],[unique-sends]],1)*50
 + MIN(Table1[[#This Row],[unique-clicks]]/Table1[[#This Row],[unique-sends]],1)*50)
 * (1 + MIN(Table1[[#This Row],[unique-clicks]]/Table1[[#This Row],[unique-sends]],1))
 - ((Table1[[#This Row],[unsub]]/Table1[[#This Row],[unique-sends]]*100)*2)</f>
        <v>42.856255700673408</v>
      </c>
      <c r="P296" s="11" t="str">
        <f>IF(Table1[[#This Row],[Engagement Score]]&lt;30,"🔴",IF(Table1[[#This Row],[Engagement Score]]&lt;40,"🟡","🟢"))</f>
        <v>🟢</v>
      </c>
      <c r="Q296" s="23"/>
      <c r="R296" s="23"/>
      <c r="S296" s="23"/>
      <c r="T296" s="26"/>
    </row>
    <row r="297" spans="1:20" ht="32.1" customHeight="1">
      <c r="A297" s="14">
        <v>96</v>
      </c>
      <c r="B297" s="21" t="s">
        <v>286</v>
      </c>
      <c r="C297" s="66">
        <v>46027</v>
      </c>
      <c r="D297" s="80" t="s">
        <v>29</v>
      </c>
      <c r="E297" s="80" t="s">
        <v>22</v>
      </c>
      <c r="F297" s="14" t="s">
        <v>23</v>
      </c>
      <c r="G297" s="14">
        <v>76</v>
      </c>
      <c r="H297" s="14">
        <v>53</v>
      </c>
      <c r="I297" s="15">
        <v>4</v>
      </c>
      <c r="J297" s="23">
        <v>0</v>
      </c>
      <c r="K297" s="71">
        <f>(Table1[[#This Row],[unsub]]/Table1[[#This Row],[unique-sends]])*100</f>
        <v>0</v>
      </c>
      <c r="L297" s="72">
        <f>Table1[[#This Row],[unique-opens]] / Table1[[#This Row],[unique-sends]] * 100</f>
        <v>69.73684210526315</v>
      </c>
      <c r="M297" s="73">
        <f>Table1[[#This Row],[unique-clicks]] / Table1[[#This Row],[unique-sends]] * 100</f>
        <v>5.2631578947368416</v>
      </c>
      <c r="N297" s="73">
        <f>Table1[[#This Row],[unique-clicks]] / Table1[[#This Row],[unique-opens]] * 100</f>
        <v>7.5471698113207548</v>
      </c>
      <c r="O297" s="73">
        <f>(MIN(Table1[[#This Row],[unique-opens]]/Table1[[#This Row],[unique-sends]],1)*50
 + MIN(Table1[[#This Row],[unique-clicks]]/Table1[[#This Row],[unique-sends]],1)*50)
 * (1 + MIN(Table1[[#This Row],[unique-clicks]]/Table1[[#This Row],[unique-sends]],1))
 - ((Table1[[#This Row],[unsub]]/Table1[[#This Row],[unique-sends]]*100)*2)</f>
        <v>39.473684210526308</v>
      </c>
      <c r="P297" s="11" t="str">
        <f>IF(Table1[[#This Row],[Engagement Score]]&lt;30,"🔴",IF(Table1[[#This Row],[Engagement Score]]&lt;40,"🟡","🟢"))</f>
        <v>🟡</v>
      </c>
      <c r="Q297" s="23" t="s">
        <v>24</v>
      </c>
      <c r="R297" s="23" t="s">
        <v>24</v>
      </c>
      <c r="S297" s="23" t="s">
        <v>24</v>
      </c>
      <c r="T297" s="27" t="s">
        <v>24</v>
      </c>
    </row>
    <row r="298" spans="1:20" ht="32.1" customHeight="1">
      <c r="A298" s="14">
        <v>23</v>
      </c>
      <c r="B298" s="21" t="s">
        <v>287</v>
      </c>
      <c r="C298" s="66">
        <v>46027</v>
      </c>
      <c r="D298" s="80" t="s">
        <v>21</v>
      </c>
      <c r="E298" s="80" t="s">
        <v>22</v>
      </c>
      <c r="F298" s="14" t="s">
        <v>23</v>
      </c>
      <c r="G298" s="14">
        <v>243</v>
      </c>
      <c r="H298" s="14">
        <v>162</v>
      </c>
      <c r="I298" s="15">
        <v>34</v>
      </c>
      <c r="J298" s="8">
        <v>0</v>
      </c>
      <c r="K298" s="71">
        <f>(Table1[[#This Row],[unsub]]/Table1[[#This Row],[unique-sends]])*100</f>
        <v>0</v>
      </c>
      <c r="L298" s="72">
        <f>Table1[[#This Row],[unique-opens]] / Table1[[#This Row],[unique-sends]] * 100</f>
        <v>66.666666666666657</v>
      </c>
      <c r="M298" s="73">
        <f>Table1[[#This Row],[unique-clicks]] / Table1[[#This Row],[unique-sends]] * 100</f>
        <v>13.991769547325102</v>
      </c>
      <c r="N298" s="73">
        <f>Table1[[#This Row],[unique-clicks]] / Table1[[#This Row],[unique-opens]] * 100</f>
        <v>20.987654320987652</v>
      </c>
      <c r="O298" s="73">
        <f>(MIN(Table1[[#This Row],[unique-opens]]/Table1[[#This Row],[unique-sends]],1)*50
 + MIN(Table1[[#This Row],[unique-clicks]]/Table1[[#This Row],[unique-sends]],1)*50)
 * (1 + MIN(Table1[[#This Row],[unique-clicks]]/Table1[[#This Row],[unique-sends]],1))
 - ((Table1[[#This Row],[unsub]]/Table1[[#This Row],[unique-sends]]*100)*2)</f>
        <v>45.971989364764852</v>
      </c>
      <c r="P298" s="11" t="str">
        <f>IF(Table1[[#This Row],[Engagement Score]]&lt;30,"🔴",IF(Table1[[#This Row],[Engagement Score]]&lt;40,"🟡","🟢"))</f>
        <v>🟢</v>
      </c>
      <c r="Q298" s="23">
        <v>81</v>
      </c>
      <c r="R298" s="23">
        <v>14.3</v>
      </c>
      <c r="S298" s="23">
        <v>4.8</v>
      </c>
      <c r="T298" s="99" t="s">
        <v>288</v>
      </c>
    </row>
    <row r="299" spans="1:20" ht="32.1" customHeight="1">
      <c r="A299" s="14">
        <v>22</v>
      </c>
      <c r="B299" s="21" t="s">
        <v>289</v>
      </c>
      <c r="C299" s="66">
        <v>46027</v>
      </c>
      <c r="D299" s="80" t="s">
        <v>21</v>
      </c>
      <c r="E299" s="80" t="s">
        <v>22</v>
      </c>
      <c r="F299" s="14" t="s">
        <v>23</v>
      </c>
      <c r="G299" s="14">
        <v>286</v>
      </c>
      <c r="H299" s="14">
        <v>189</v>
      </c>
      <c r="I299" s="15">
        <v>67</v>
      </c>
      <c r="J299" s="14">
        <v>0</v>
      </c>
      <c r="K299" s="71">
        <f>(Table1[[#This Row],[unsub]]/Table1[[#This Row],[unique-sends]])*100</f>
        <v>0</v>
      </c>
      <c r="L299" s="72">
        <f>Table1[[#This Row],[unique-opens]] / Table1[[#This Row],[unique-sends]] * 100</f>
        <v>66.08391608391608</v>
      </c>
      <c r="M299" s="73">
        <f>Table1[[#This Row],[unique-clicks]] / Table1[[#This Row],[unique-sends]] * 100</f>
        <v>23.426573426573427</v>
      </c>
      <c r="N299" s="73">
        <f>Table1[[#This Row],[unique-clicks]] / Table1[[#This Row],[unique-opens]] * 100</f>
        <v>35.449735449735449</v>
      </c>
      <c r="O299" s="73">
        <f>(MIN(Table1[[#This Row],[unique-opens]]/Table1[[#This Row],[unique-sends]],1)*50
 + MIN(Table1[[#This Row],[unique-clicks]]/Table1[[#This Row],[unique-sends]],1)*50)
 * (1 + MIN(Table1[[#This Row],[unique-clicks]]/Table1[[#This Row],[unique-sends]],1))
 - ((Table1[[#This Row],[unsub]]/Table1[[#This Row],[unique-sends]]*100)*2)</f>
        <v>55.23986503007481</v>
      </c>
      <c r="P299" s="11" t="str">
        <f>IF(Table1[[#This Row],[Engagement Score]]&lt;30,"🔴",IF(Table1[[#This Row],[Engagement Score]]&lt;40,"🟡","🟢"))</f>
        <v>🟢</v>
      </c>
      <c r="Q299" s="23">
        <v>91.7</v>
      </c>
      <c r="R299" s="23">
        <v>5.6</v>
      </c>
      <c r="S299" s="23">
        <v>2.8</v>
      </c>
      <c r="T299" s="99" t="s">
        <v>290</v>
      </c>
    </row>
    <row r="300" spans="1:20" ht="32.1" customHeight="1">
      <c r="A300" s="14">
        <v>21</v>
      </c>
      <c r="B300" s="21" t="s">
        <v>291</v>
      </c>
      <c r="C300" s="66">
        <v>46027</v>
      </c>
      <c r="D300" s="80" t="s">
        <v>21</v>
      </c>
      <c r="E300" s="80" t="s">
        <v>22</v>
      </c>
      <c r="F300" s="14" t="s">
        <v>23</v>
      </c>
      <c r="G300" s="14">
        <v>291</v>
      </c>
      <c r="H300" s="14">
        <v>173</v>
      </c>
      <c r="I300" s="15">
        <v>26</v>
      </c>
      <c r="J300" s="8">
        <v>0</v>
      </c>
      <c r="K300" s="71">
        <f>(Table1[[#This Row],[unsub]]/Table1[[#This Row],[unique-sends]])*100</f>
        <v>0</v>
      </c>
      <c r="L300" s="72">
        <f>Table1[[#This Row],[unique-opens]] / Table1[[#This Row],[unique-sends]] * 100</f>
        <v>59.450171821305844</v>
      </c>
      <c r="M300" s="73">
        <f>Table1[[#This Row],[unique-clicks]] / Table1[[#This Row],[unique-sends]] * 100</f>
        <v>8.934707903780069</v>
      </c>
      <c r="N300" s="73">
        <f>Table1[[#This Row],[unique-clicks]] / Table1[[#This Row],[unique-opens]] * 100</f>
        <v>15.028901734104046</v>
      </c>
      <c r="O300" s="73">
        <f>(MIN(Table1[[#This Row],[unique-opens]]/Table1[[#This Row],[unique-sends]],1)*50
 + MIN(Table1[[#This Row],[unique-clicks]]/Table1[[#This Row],[unique-sends]],1)*50)
 * (1 + MIN(Table1[[#This Row],[unique-clicks]]/Table1[[#This Row],[unique-sends]],1))
 - ((Table1[[#This Row],[unsub]]/Table1[[#This Row],[unique-sends]]*100)*2)</f>
        <v>37.24743448943682</v>
      </c>
      <c r="P300" s="11" t="str">
        <f>IF(Table1[[#This Row],[Engagement Score]]&lt;30,"🔴",IF(Table1[[#This Row],[Engagement Score]]&lt;40,"🟡","🟢"))</f>
        <v>🟡</v>
      </c>
      <c r="Q300" s="23">
        <v>95</v>
      </c>
      <c r="R300" s="23">
        <v>0</v>
      </c>
      <c r="S300" s="23">
        <v>5</v>
      </c>
      <c r="T300" s="99" t="s">
        <v>292</v>
      </c>
    </row>
    <row r="301" spans="1:20" ht="32.1" customHeight="1">
      <c r="A301" s="8">
        <v>20</v>
      </c>
      <c r="B301" s="17" t="s">
        <v>190</v>
      </c>
      <c r="C301" s="66">
        <v>46027</v>
      </c>
      <c r="D301" s="79" t="s">
        <v>21</v>
      </c>
      <c r="E301" s="79" t="s">
        <v>22</v>
      </c>
      <c r="F301" s="8" t="s">
        <v>23</v>
      </c>
      <c r="G301" s="8">
        <v>581</v>
      </c>
      <c r="H301" s="8">
        <v>292</v>
      </c>
      <c r="I301" s="6">
        <v>26</v>
      </c>
      <c r="J301" s="8">
        <v>1</v>
      </c>
      <c r="K301" s="71">
        <f>(Table1[[#This Row],[unsub]]/Table1[[#This Row],[unique-sends]])*100</f>
        <v>0.17211703958691912</v>
      </c>
      <c r="L301" s="72">
        <f>Table1[[#This Row],[unique-opens]] / Table1[[#This Row],[unique-sends]] * 100</f>
        <v>50.258175559380383</v>
      </c>
      <c r="M301" s="73">
        <f>Table1[[#This Row],[unique-clicks]] / Table1[[#This Row],[unique-sends]] * 100</f>
        <v>4.4750430292598971</v>
      </c>
      <c r="N301" s="73">
        <f>Table1[[#This Row],[unique-clicks]] / Table1[[#This Row],[unique-opens]] * 100</f>
        <v>8.9041095890410951</v>
      </c>
      <c r="O301" s="73">
        <f>(MIN(Table1[[#This Row],[unique-opens]]/Table1[[#This Row],[unique-sends]],1)*50
 + MIN(Table1[[#This Row],[unique-clicks]]/Table1[[#This Row],[unique-sends]],1)*50)
 * (1 + MIN(Table1[[#This Row],[unique-clicks]]/Table1[[#This Row],[unique-sends]],1))
 - ((Table1[[#This Row],[unsub]]/Table1[[#This Row],[unique-sends]]*100)*2)</f>
        <v>28.247042756716567</v>
      </c>
      <c r="P301" s="11" t="str">
        <f>IF(Table1[[#This Row],[Engagement Score]]&lt;30,"🔴",IF(Table1[[#This Row],[Engagement Score]]&lt;40,"🟡","🟢"))</f>
        <v>🔴</v>
      </c>
      <c r="Q301" s="23">
        <v>91.1</v>
      </c>
      <c r="R301" s="23">
        <v>5.4</v>
      </c>
      <c r="S301" s="23">
        <v>3.6</v>
      </c>
      <c r="T301" s="99" t="s">
        <v>293</v>
      </c>
    </row>
    <row r="302" spans="1:20" ht="32.1" customHeight="1">
      <c r="A302" s="14">
        <v>31</v>
      </c>
      <c r="B302" s="76" t="s">
        <v>294</v>
      </c>
      <c r="C302" s="66">
        <v>46049</v>
      </c>
      <c r="D302" s="82" t="s">
        <v>29</v>
      </c>
      <c r="E302" s="82" t="s">
        <v>26</v>
      </c>
      <c r="F302" s="57" t="s">
        <v>27</v>
      </c>
      <c r="G302" s="58">
        <v>2195</v>
      </c>
      <c r="H302" s="52">
        <v>1148</v>
      </c>
      <c r="I302" s="52">
        <v>60</v>
      </c>
      <c r="J302" s="58">
        <v>0</v>
      </c>
      <c r="K302" s="71">
        <f>(Table1[[#This Row],[unsub]]/Table1[[#This Row],[unique-sends]])*100</f>
        <v>0</v>
      </c>
      <c r="L302" s="72">
        <f>Table1[[#This Row],[unique-opens]] / Table1[[#This Row],[unique-sends]] * 100</f>
        <v>52.300683371298405</v>
      </c>
      <c r="M302" s="73">
        <f>Table1[[#This Row],[unique-clicks]] / Table1[[#This Row],[unique-sends]] * 100</f>
        <v>2.7334851936218678</v>
      </c>
      <c r="N302" s="73">
        <f>Table1[[#This Row],[unique-clicks]] / Table1[[#This Row],[unique-opens]] * 100</f>
        <v>5.2264808362369335</v>
      </c>
      <c r="O302" s="73">
        <f>(MIN(Table1[[#This Row],[unique-opens]]/Table1[[#This Row],[unique-sends]],1)*50
 + MIN(Table1[[#This Row],[unique-clicks]]/Table1[[#This Row],[unique-sends]],1)*50)
 * (1 + MIN(Table1[[#This Row],[unique-clicks]]/Table1[[#This Row],[unique-sends]],1))
 - ((Table1[[#This Row],[unsub]]/Table1[[#This Row],[unique-sends]]*100)*2)</f>
        <v>28.269259707037634</v>
      </c>
      <c r="P302" s="11" t="str">
        <f>IF(Table1[[#This Row],[Engagement Score]]&lt;30,"🔴",IF(Table1[[#This Row],[Engagement Score]]&lt;40,"🟡","🟢"))</f>
        <v>🔴</v>
      </c>
      <c r="Q302" s="59">
        <v>73.400000000000006</v>
      </c>
      <c r="R302" s="61">
        <v>15.3</v>
      </c>
      <c r="S302" s="60">
        <v>11.3</v>
      </c>
      <c r="T302" s="98" t="s">
        <v>295</v>
      </c>
    </row>
    <row r="303" spans="1:20" ht="32.1" customHeight="1">
      <c r="A303" s="14">
        <v>31</v>
      </c>
      <c r="B303" s="76" t="s">
        <v>294</v>
      </c>
      <c r="C303" s="66">
        <v>46049</v>
      </c>
      <c r="D303" s="85" t="s">
        <v>21</v>
      </c>
      <c r="E303" s="85" t="s">
        <v>26</v>
      </c>
      <c r="F303" s="86" t="s">
        <v>27</v>
      </c>
      <c r="G303" s="87">
        <v>12543</v>
      </c>
      <c r="H303" s="88">
        <v>6049</v>
      </c>
      <c r="I303" s="88">
        <v>275</v>
      </c>
      <c r="J303" s="87">
        <v>4</v>
      </c>
      <c r="K303" s="71">
        <f>(Table1[[#This Row],[unsub]]/Table1[[#This Row],[unique-sends]])*100</f>
        <v>3.1890297377023036E-2</v>
      </c>
      <c r="L303" s="72">
        <f>Table1[[#This Row],[unique-opens]] / Table1[[#This Row],[unique-sends]] * 100</f>
        <v>48.226102208403091</v>
      </c>
      <c r="M303" s="73">
        <f>Table1[[#This Row],[unique-clicks]] / Table1[[#This Row],[unique-sends]] * 100</f>
        <v>2.1924579446703341</v>
      </c>
      <c r="N303" s="73">
        <f>Table1[[#This Row],[unique-clicks]] / Table1[[#This Row],[unique-opens]] * 100</f>
        <v>4.5462059844602418</v>
      </c>
      <c r="O303" s="73">
        <f>(MIN(Table1[[#This Row],[unique-opens]]/Table1[[#This Row],[unique-sends]],1)*50
 + MIN(Table1[[#This Row],[unique-clicks]]/Table1[[#This Row],[unique-sends]],1)*50)
 * (1 + MIN(Table1[[#This Row],[unique-clicks]]/Table1[[#This Row],[unique-sends]],1))
 - ((Table1[[#This Row],[unsub]]/Table1[[#This Row],[unique-sends]]*100)*2)</f>
        <v>25.698202345614892</v>
      </c>
      <c r="P303" s="11" t="str">
        <f>IF(Table1[[#This Row],[Engagement Score]]&lt;30,"🔴",IF(Table1[[#This Row],[Engagement Score]]&lt;40,"🟡","🟢"))</f>
        <v>🔴</v>
      </c>
      <c r="Q303" s="91">
        <v>70.900000000000006</v>
      </c>
      <c r="R303" s="92">
        <v>16.100000000000001</v>
      </c>
      <c r="S303" s="93">
        <v>13</v>
      </c>
      <c r="T303" s="97" t="s">
        <v>296</v>
      </c>
    </row>
    <row r="304" spans="1:20" ht="32.1" customHeight="1">
      <c r="A304" s="84">
        <v>31</v>
      </c>
      <c r="B304" s="95" t="s">
        <v>297</v>
      </c>
      <c r="C304" s="66">
        <v>46027</v>
      </c>
      <c r="D304" s="85" t="s">
        <v>29</v>
      </c>
      <c r="E304" s="85" t="s">
        <v>26</v>
      </c>
      <c r="F304" s="86" t="s">
        <v>27</v>
      </c>
      <c r="G304" s="87">
        <v>168</v>
      </c>
      <c r="H304" s="88">
        <v>133</v>
      </c>
      <c r="I304" s="88">
        <v>8</v>
      </c>
      <c r="J304" s="87">
        <v>0</v>
      </c>
      <c r="K304" s="71">
        <f>(Table1[[#This Row],[unsub]]/Table1[[#This Row],[unique-sends]])*100</f>
        <v>0</v>
      </c>
      <c r="L304" s="72">
        <f>Table1[[#This Row],[unique-opens]] / Table1[[#This Row],[unique-sends]] * 100</f>
        <v>79.166666666666657</v>
      </c>
      <c r="M304" s="73">
        <f>Table1[[#This Row],[unique-clicks]] / Table1[[#This Row],[unique-sends]] * 100</f>
        <v>4.7619047619047619</v>
      </c>
      <c r="N304" s="73">
        <f>Table1[[#This Row],[unique-clicks]] / Table1[[#This Row],[unique-opens]] * 100</f>
        <v>6.0150375939849621</v>
      </c>
      <c r="O304" s="89">
        <f>(MIN(Table1[[#This Row],[unique-opens]]/Table1[[#This Row],[unique-sends]],1)*50
 + MIN(Table1[[#This Row],[unique-clicks]]/Table1[[#This Row],[unique-sends]],1)*50)
 * (1 + MIN(Table1[[#This Row],[unique-clicks]]/Table1[[#This Row],[unique-sends]],1))
 - ((Table1[[#This Row],[unsub]]/Table1[[#This Row],[unique-sends]]*100)*2)</f>
        <v>43.9625850340136</v>
      </c>
      <c r="P304" s="90" t="str">
        <f>IF(Table1[[#This Row],[Engagement Score]]&lt;30,"🔴",IF(Table1[[#This Row],[Engagement Score]]&lt;40,"🟡","🟢"))</f>
        <v>🟢</v>
      </c>
      <c r="Q304" s="91">
        <v>40</v>
      </c>
      <c r="R304" s="92">
        <v>26.7</v>
      </c>
      <c r="S304" s="93">
        <v>33.299999999999997</v>
      </c>
      <c r="T304" s="97" t="s">
        <v>275</v>
      </c>
    </row>
    <row r="305" spans="1:20" ht="32.1" customHeight="1">
      <c r="A305" s="84">
        <v>31</v>
      </c>
      <c r="B305" s="95" t="s">
        <v>297</v>
      </c>
      <c r="C305" s="66">
        <v>46027</v>
      </c>
      <c r="D305" s="85" t="s">
        <v>21</v>
      </c>
      <c r="E305" s="85" t="s">
        <v>26</v>
      </c>
      <c r="F305" s="86" t="s">
        <v>27</v>
      </c>
      <c r="G305" s="87">
        <v>2747</v>
      </c>
      <c r="H305" s="88">
        <v>1832</v>
      </c>
      <c r="I305" s="88">
        <v>223</v>
      </c>
      <c r="J305" s="87">
        <v>1</v>
      </c>
      <c r="K305" s="71">
        <f>(Table1[[#This Row],[unsub]]/Table1[[#This Row],[unique-sends]])*100</f>
        <v>3.6403349108117947E-2</v>
      </c>
      <c r="L305" s="72">
        <f>Table1[[#This Row],[unique-opens]] / Table1[[#This Row],[unique-sends]] * 100</f>
        <v>66.690935566072071</v>
      </c>
      <c r="M305" s="73">
        <f>Table1[[#This Row],[unique-clicks]] / Table1[[#This Row],[unique-sends]] * 100</f>
        <v>8.1179468511103021</v>
      </c>
      <c r="N305" s="73">
        <f>Table1[[#This Row],[unique-clicks]] / Table1[[#This Row],[unique-opens]] * 100</f>
        <v>12.172489082969433</v>
      </c>
      <c r="O305" s="89">
        <f>(MIN(Table1[[#This Row],[unique-opens]]/Table1[[#This Row],[unique-sends]],1)*50
 + MIN(Table1[[#This Row],[unique-clicks]]/Table1[[#This Row],[unique-sends]],1)*50)
 * (1 + MIN(Table1[[#This Row],[unique-clicks]]/Table1[[#This Row],[unique-sends]],1))
 - ((Table1[[#This Row],[unsub]]/Table1[[#This Row],[unique-sends]]*100)*2)</f>
        <v>40.368107167643181</v>
      </c>
      <c r="P305" s="90" t="str">
        <f>IF(Table1[[#This Row],[Engagement Score]]&lt;30,"🔴",IF(Table1[[#This Row],[Engagement Score]]&lt;40,"🟡","🟢"))</f>
        <v>🟢</v>
      </c>
      <c r="Q305" s="91">
        <v>76.8</v>
      </c>
      <c r="R305" s="92">
        <v>16.399999999999999</v>
      </c>
      <c r="S305" s="93">
        <v>6.8</v>
      </c>
      <c r="T305" s="97" t="s">
        <v>298</v>
      </c>
    </row>
    <row r="306" spans="1:20" ht="32.1" customHeight="1">
      <c r="A306" s="84">
        <v>31</v>
      </c>
      <c r="B306" s="96" t="s">
        <v>299</v>
      </c>
      <c r="C306" s="66">
        <v>46049</v>
      </c>
      <c r="D306" s="85" t="s">
        <v>29</v>
      </c>
      <c r="E306" s="85" t="s">
        <v>26</v>
      </c>
      <c r="F306" s="86" t="s">
        <v>27</v>
      </c>
      <c r="G306" s="87">
        <v>717</v>
      </c>
      <c r="H306" s="88">
        <v>483</v>
      </c>
      <c r="I306" s="88">
        <v>22</v>
      </c>
      <c r="J306" s="87">
        <v>0</v>
      </c>
      <c r="K306" s="71">
        <f>(Table1[[#This Row],[unsub]]/Table1[[#This Row],[unique-sends]])*100</f>
        <v>0</v>
      </c>
      <c r="L306" s="72">
        <f>Table1[[#This Row],[unique-opens]] / Table1[[#This Row],[unique-sends]] * 100</f>
        <v>67.36401673640168</v>
      </c>
      <c r="M306" s="73">
        <f>Table1[[#This Row],[unique-clicks]] / Table1[[#This Row],[unique-sends]] * 100</f>
        <v>3.0683403068340307</v>
      </c>
      <c r="N306" s="73">
        <f>Table1[[#This Row],[unique-clicks]] / Table1[[#This Row],[unique-opens]] * 100</f>
        <v>4.5548654244306412</v>
      </c>
      <c r="O306" s="89">
        <f>(MIN(Table1[[#This Row],[unique-opens]]/Table1[[#This Row],[unique-sends]],1)*50
 + MIN(Table1[[#This Row],[unique-clicks]]/Table1[[#This Row],[unique-sends]],1)*50)
 * (1 + MIN(Table1[[#This Row],[unique-clicks]]/Table1[[#This Row],[unique-sends]],1))
 - ((Table1[[#This Row],[unsub]]/Table1[[#This Row],[unique-sends]]*100)*2)</f>
        <v>36.296730721723286</v>
      </c>
      <c r="P306" s="90" t="str">
        <f>IF(Table1[[#This Row],[Engagement Score]]&lt;30,"🔴",IF(Table1[[#This Row],[Engagement Score]]&lt;40,"🟡","🟢"))</f>
        <v>🟡</v>
      </c>
      <c r="Q306" s="91">
        <v>73</v>
      </c>
      <c r="R306" s="92">
        <v>15.9</v>
      </c>
      <c r="S306" s="93">
        <v>11.1</v>
      </c>
      <c r="T306" s="97" t="s">
        <v>300</v>
      </c>
    </row>
    <row r="307" spans="1:20" ht="32.1" customHeight="1">
      <c r="A307" s="84">
        <v>31</v>
      </c>
      <c r="B307" s="96" t="s">
        <v>299</v>
      </c>
      <c r="C307" s="66">
        <v>46049</v>
      </c>
      <c r="D307" s="85" t="s">
        <v>21</v>
      </c>
      <c r="E307" s="85" t="s">
        <v>26</v>
      </c>
      <c r="F307" s="86" t="s">
        <v>27</v>
      </c>
      <c r="G307" s="87">
        <v>7196</v>
      </c>
      <c r="H307" s="88">
        <v>4251</v>
      </c>
      <c r="I307" s="88">
        <v>352</v>
      </c>
      <c r="J307" s="87">
        <v>0</v>
      </c>
      <c r="K307" s="71">
        <f>(Table1[[#This Row],[unsub]]/Table1[[#This Row],[unique-sends]])*100</f>
        <v>0</v>
      </c>
      <c r="L307" s="72">
        <f>Table1[[#This Row],[unique-opens]] / Table1[[#This Row],[unique-sends]] * 100</f>
        <v>59.074485825458588</v>
      </c>
      <c r="M307" s="73">
        <f>Table1[[#This Row],[unique-clicks]] / Table1[[#This Row],[unique-sends]] * 100</f>
        <v>4.8916064480266819</v>
      </c>
      <c r="N307" s="73">
        <f>Table1[[#This Row],[unique-clicks]] / Table1[[#This Row],[unique-opens]] * 100</f>
        <v>8.2804046106798399</v>
      </c>
      <c r="O307" s="89">
        <f>(MIN(Table1[[#This Row],[unique-opens]]/Table1[[#This Row],[unique-sends]],1)*50
 + MIN(Table1[[#This Row],[unique-clicks]]/Table1[[#This Row],[unique-sends]],1)*50)
 * (1 + MIN(Table1[[#This Row],[unique-clicks]]/Table1[[#This Row],[unique-sends]],1))
 - ((Table1[[#This Row],[unsub]]/Table1[[#This Row],[unique-sends]]*100)*2)</f>
        <v>33.547530883842889</v>
      </c>
      <c r="P307" s="90" t="str">
        <f>IF(Table1[[#This Row],[Engagement Score]]&lt;30,"🔴",IF(Table1[[#This Row],[Engagement Score]]&lt;40,"🟡","🟢"))</f>
        <v>🟡</v>
      </c>
      <c r="Q307" s="91">
        <v>70.099999999999994</v>
      </c>
      <c r="R307" s="92">
        <v>19.2</v>
      </c>
      <c r="S307" s="93">
        <v>10.8</v>
      </c>
      <c r="T307" s="97" t="s">
        <v>301</v>
      </c>
    </row>
    <row r="308" spans="1:20" ht="32.1" customHeight="1">
      <c r="A308" s="84">
        <v>97</v>
      </c>
      <c r="B308" s="95" t="s">
        <v>302</v>
      </c>
      <c r="C308" s="66">
        <v>46050</v>
      </c>
      <c r="D308" s="85" t="s">
        <v>29</v>
      </c>
      <c r="E308" s="85" t="s">
        <v>22</v>
      </c>
      <c r="F308" s="86" t="s">
        <v>27</v>
      </c>
      <c r="G308" s="87">
        <v>78</v>
      </c>
      <c r="H308" s="88">
        <v>53</v>
      </c>
      <c r="I308" s="88">
        <v>11</v>
      </c>
      <c r="J308" s="87">
        <v>0</v>
      </c>
      <c r="K308" s="71">
        <f>(Table1[[#This Row],[unsub]]/Table1[[#This Row],[unique-sends]])*100</f>
        <v>0</v>
      </c>
      <c r="L308" s="72">
        <f>Table1[[#This Row],[unique-opens]] / Table1[[#This Row],[unique-sends]] * 100</f>
        <v>67.948717948717956</v>
      </c>
      <c r="M308" s="73">
        <f>Table1[[#This Row],[unique-clicks]] / Table1[[#This Row],[unique-sends]] * 100</f>
        <v>14.102564102564102</v>
      </c>
      <c r="N308" s="73">
        <f>Table1[[#This Row],[unique-clicks]] / Table1[[#This Row],[unique-opens]] * 100</f>
        <v>20.754716981132077</v>
      </c>
      <c r="O308" s="89">
        <f>(MIN(Table1[[#This Row],[unique-opens]]/Table1[[#This Row],[unique-sends]],1)*50
 + MIN(Table1[[#This Row],[unique-clicks]]/Table1[[#This Row],[unique-sends]],1)*50)
 * (1 + MIN(Table1[[#This Row],[unique-clicks]]/Table1[[#This Row],[unique-sends]],1))
 - ((Table1[[#This Row],[unsub]]/Table1[[#This Row],[unique-sends]]*100)*2)</f>
        <v>46.811308349769888</v>
      </c>
      <c r="P308" s="90" t="str">
        <f>IF(Table1[[#This Row],[Engagement Score]]&lt;30,"🔴",IF(Table1[[#This Row],[Engagement Score]]&lt;40,"🟡","🟢"))</f>
        <v>🟢</v>
      </c>
      <c r="Q308" s="91"/>
      <c r="R308" s="92"/>
      <c r="S308" s="93"/>
      <c r="T308" s="94"/>
    </row>
    <row r="309" spans="1:20" ht="32.1" customHeight="1">
      <c r="A309" s="84">
        <v>97</v>
      </c>
      <c r="B309" s="95" t="s">
        <v>303</v>
      </c>
      <c r="C309" s="66">
        <v>46050</v>
      </c>
      <c r="D309" s="85" t="s">
        <v>29</v>
      </c>
      <c r="E309" s="85" t="s">
        <v>22</v>
      </c>
      <c r="F309" s="86" t="s">
        <v>27</v>
      </c>
      <c r="G309" s="87">
        <v>1172</v>
      </c>
      <c r="H309" s="88">
        <v>894</v>
      </c>
      <c r="I309" s="88">
        <v>247</v>
      </c>
      <c r="J309" s="87">
        <v>0</v>
      </c>
      <c r="K309" s="71">
        <f>(Table1[[#This Row],[unsub]]/Table1[[#This Row],[unique-sends]])*100</f>
        <v>0</v>
      </c>
      <c r="L309" s="72">
        <f>Table1[[#This Row],[unique-opens]] / Table1[[#This Row],[unique-sends]] * 100</f>
        <v>76.279863481228674</v>
      </c>
      <c r="M309" s="73">
        <f>Table1[[#This Row],[unique-clicks]] / Table1[[#This Row],[unique-sends]] * 100</f>
        <v>21.075085324232081</v>
      </c>
      <c r="N309" s="73">
        <f>Table1[[#This Row],[unique-clicks]] / Table1[[#This Row],[unique-opens]] * 100</f>
        <v>27.628635346756152</v>
      </c>
      <c r="O309" s="89">
        <f>(MIN(Table1[[#This Row],[unique-opens]]/Table1[[#This Row],[unique-sends]],1)*50
 + MIN(Table1[[#This Row],[unique-clicks]]/Table1[[#This Row],[unique-sends]],1)*50)
 * (1 + MIN(Table1[[#This Row],[unique-clicks]]/Table1[[#This Row],[unique-sends]],1))
 - ((Table1[[#This Row],[unsub]]/Table1[[#This Row],[unique-sends]]*100)*2)</f>
        <v>58.93629366678703</v>
      </c>
      <c r="P309" s="90" t="str">
        <f>IF(Table1[[#This Row],[Engagement Score]]&lt;30,"🔴",IF(Table1[[#This Row],[Engagement Score]]&lt;40,"🟡","🟢"))</f>
        <v>🟢</v>
      </c>
      <c r="Q309" s="91"/>
      <c r="R309" s="92"/>
      <c r="S309" s="93"/>
      <c r="T309" s="94"/>
    </row>
    <row r="310" spans="1:20" ht="32.1" customHeight="1">
      <c r="A310" s="84">
        <v>97</v>
      </c>
      <c r="B310" s="95" t="s">
        <v>303</v>
      </c>
      <c r="C310" s="66">
        <v>46050</v>
      </c>
      <c r="D310" s="85" t="s">
        <v>21</v>
      </c>
      <c r="E310" s="85" t="s">
        <v>22</v>
      </c>
      <c r="F310" s="86" t="s">
        <v>27</v>
      </c>
      <c r="G310" s="87">
        <v>3667</v>
      </c>
      <c r="H310" s="88">
        <v>2430</v>
      </c>
      <c r="I310" s="88">
        <v>625</v>
      </c>
      <c r="J310" s="87">
        <v>0</v>
      </c>
      <c r="K310" s="71">
        <f>(Table1[[#This Row],[unsub]]/Table1[[#This Row],[unique-sends]])*100</f>
        <v>0</v>
      </c>
      <c r="L310" s="72">
        <f>Table1[[#This Row],[unique-opens]] / Table1[[#This Row],[unique-sends]] * 100</f>
        <v>66.266703026997547</v>
      </c>
      <c r="M310" s="73">
        <f>Table1[[#This Row],[unique-clicks]] / Table1[[#This Row],[unique-sends]] * 100</f>
        <v>17.043905099536406</v>
      </c>
      <c r="N310" s="73">
        <f>Table1[[#This Row],[unique-clicks]] / Table1[[#This Row],[unique-opens]] * 100</f>
        <v>25.720164609053498</v>
      </c>
      <c r="O310" s="89">
        <f>(MIN(Table1[[#This Row],[unique-opens]]/Table1[[#This Row],[unique-sends]],1)*50
 + MIN(Table1[[#This Row],[unique-clicks]]/Table1[[#This Row],[unique-sends]],1)*50)
 * (1 + MIN(Table1[[#This Row],[unique-clicks]]/Table1[[#This Row],[unique-sends]],1))
 - ((Table1[[#This Row],[unsub]]/Table1[[#This Row],[unique-sends]]*100)*2)</f>
        <v>48.754994556733529</v>
      </c>
      <c r="P310" s="90" t="str">
        <f>IF(Table1[[#This Row],[Engagement Score]]&lt;30,"🔴",IF(Table1[[#This Row],[Engagement Score]]&lt;40,"🟡","🟢"))</f>
        <v>🟢</v>
      </c>
      <c r="Q310" s="91"/>
      <c r="R310" s="92"/>
      <c r="S310" s="93"/>
      <c r="T310" s="94"/>
    </row>
    <row r="311" spans="1:20" ht="32.1" customHeight="1">
      <c r="A311" s="84">
        <v>97</v>
      </c>
      <c r="B311" s="95" t="s">
        <v>302</v>
      </c>
      <c r="C311" s="66">
        <v>46050</v>
      </c>
      <c r="D311" s="85" t="s">
        <v>21</v>
      </c>
      <c r="E311" s="85" t="s">
        <v>22</v>
      </c>
      <c r="F311" s="86" t="s">
        <v>27</v>
      </c>
      <c r="G311" s="87">
        <v>3892</v>
      </c>
      <c r="H311" s="88">
        <v>2221</v>
      </c>
      <c r="I311" s="88">
        <v>253</v>
      </c>
      <c r="J311" s="87">
        <v>0</v>
      </c>
      <c r="K311" s="71">
        <f>(Table1[[#This Row],[unsub]]/Table1[[#This Row],[unique-sends]])*100</f>
        <v>0</v>
      </c>
      <c r="L311" s="72">
        <f>Table1[[#This Row],[unique-opens]] / Table1[[#This Row],[unique-sends]] * 100</f>
        <v>57.065775950668041</v>
      </c>
      <c r="M311" s="73">
        <f>Table1[[#This Row],[unique-clicks]] / Table1[[#This Row],[unique-sends]] * 100</f>
        <v>6.5005138746145938</v>
      </c>
      <c r="N311" s="73">
        <f>Table1[[#This Row],[unique-clicks]] / Table1[[#This Row],[unique-opens]] * 100</f>
        <v>11.391265195857722</v>
      </c>
      <c r="O311" s="89">
        <f>(MIN(Table1[[#This Row],[unique-opens]]/Table1[[#This Row],[unique-sends]],1)*50
 + MIN(Table1[[#This Row],[unique-clicks]]/Table1[[#This Row],[unique-sends]],1)*50)
 * (1 + MIN(Table1[[#This Row],[unique-clicks]]/Table1[[#This Row],[unique-sends]],1))
 - ((Table1[[#This Row],[unsub]]/Table1[[#This Row],[unique-sends]]*100)*2)</f>
        <v>33.849212657476428</v>
      </c>
      <c r="P311" s="90" t="str">
        <f>IF(Table1[[#This Row],[Engagement Score]]&lt;30,"🔴",IF(Table1[[#This Row],[Engagement Score]]&lt;40,"🟡","🟢"))</f>
        <v>🟡</v>
      </c>
      <c r="Q311" s="91"/>
      <c r="R311" s="92"/>
      <c r="S311" s="93"/>
      <c r="T311" s="94"/>
    </row>
  </sheetData>
  <conditionalFormatting sqref="G1 G302:G1048576">
    <cfRule type="cellIs" dxfId="25" priority="1" operator="lessThan">
      <formula>44</formula>
    </cfRule>
  </conditionalFormatting>
  <conditionalFormatting sqref="T302:T1048576 T1">
    <cfRule type="duplicateValues" dxfId="24" priority="16"/>
  </conditionalFormatting>
  <dataValidations count="3">
    <dataValidation type="list" allowBlank="1" showInputMessage="1" showErrorMessage="1" sqref="E1:E1048576" xr:uid="{44881DCA-ADAA-4DAC-8433-FA18DB6A6F23}">
      <formula1>"Marketing,Event,Comms,Other"</formula1>
    </dataValidation>
    <dataValidation type="list" allowBlank="1" showInputMessage="1" showErrorMessage="1" sqref="F1:F1048576" xr:uid="{2E4131D8-137D-4BFD-8290-FABA3BF82135}">
      <formula1>"Automated,Direct Blast"</formula1>
    </dataValidation>
    <dataValidation type="list" allowBlank="1" showInputMessage="1" showErrorMessage="1" sqref="D1:D1048576" xr:uid="{22831880-6BA6-4D79-85D5-4E5B0B32ACDA}">
      <formula1>"Cbus,Media"</formula1>
    </dataValidation>
  </dataValidations>
  <hyperlinks>
    <hyperlink ref="B23" r:id="rId1" location="/@cbus/sname:prod/journey-optimizer/journey/report/#/workspace/template/ajo-journey/cbafab5a-039f-4e19-b165-5c9aea855168" xr:uid="{BC8A9ED7-11FC-4636-8BA9-7CBA58B8008A}"/>
    <hyperlink ref="B24" r:id="rId2" location="/@cbus/sname:prod/journey-optimizer/journey/report/#/workspace/template/ajo-journey/8c062c79-30ff-4ef1-80d7-e40490c50fab" xr:uid="{6A01464E-48C8-4AAF-B42D-29D0B23F9063}"/>
    <hyperlink ref="B25" r:id="rId3" location="/@cbus/sname:prod/journey-optimizer/journey/report/#/workspace/template/ajo-journey/8c062c79-30ff-4ef1-80d7-e40490c50fab" xr:uid="{960A3CD4-2970-433F-91C8-3C404405BC9C}"/>
    <hyperlink ref="B28" r:id="rId4" location="/@cbus/sname:prod/journey-optimizer/journey/report/" xr:uid="{64BF3E00-9607-4370-8A2A-42A25E2E67AE}"/>
    <hyperlink ref="T28" r:id="rId5" xr:uid="{EFE810BE-D5BE-410E-83E6-4A6FFA54AAE5}"/>
    <hyperlink ref="B29" r:id="rId6" location="/@cbus/sname:prod/journey-optimizer/journey/report/" xr:uid="{FE2D73A7-1777-47C2-8A4D-3A93ADB9FF06}"/>
    <hyperlink ref="T29" r:id="rId7" xr:uid="{D8297970-8DDF-4D18-BA49-5BE8F3FBE9E4}"/>
    <hyperlink ref="B30" r:id="rId8" location="/@cbus/sname:prod/journey-optimizer/journey/report/" xr:uid="{D3BAB249-2622-4557-A488-2241AA12CCC7}"/>
    <hyperlink ref="T30" r:id="rId9" xr:uid="{726299B7-42EA-4F4C-BE5F-21C580FE5ABD}"/>
    <hyperlink ref="B31" r:id="rId10" location="/@cbus/sname:prod/journey-optimizer/journey/report/" xr:uid="{8CDB23CE-6C68-4625-906B-E2083602F5BD}"/>
    <hyperlink ref="T31" r:id="rId11" xr:uid="{113C1971-A486-42BD-B8A2-0720271448F1}"/>
    <hyperlink ref="B32" r:id="rId12" location="/@cbus/sname:prod/journey-optimizer/journey/report/" xr:uid="{23CDA5D9-81ED-40F3-BE78-F6590CFEAE3B}"/>
    <hyperlink ref="T32" r:id="rId13" xr:uid="{316030D3-A7DB-4E75-B981-F7413F46DA38}"/>
    <hyperlink ref="B33" r:id="rId14" location="/@cbus/sname:prod/journey-optimizer/journey/report/" xr:uid="{92B0EF72-CAA3-4BFD-A682-3C5D5D78260F}"/>
    <hyperlink ref="T33" r:id="rId15" xr:uid="{A7A4D359-24F9-4AB5-A5A6-CC56F21AACD2}"/>
    <hyperlink ref="B34" r:id="rId16" location="/@cbus/sname:prod/journey-optimizer/journey/report/" xr:uid="{FBFD638A-9FD0-4C20-9C84-D5469AD48A70}"/>
    <hyperlink ref="T34" r:id="rId17" xr:uid="{F7773D92-C81F-4A4A-A632-E73B9A6E8855}"/>
    <hyperlink ref="B35" r:id="rId18" location="/@cbus/sname:prod/journey-optimizer/journey/report/" xr:uid="{F523A4BF-5D8F-43F8-B1E9-51F511C8B714}"/>
    <hyperlink ref="T35" r:id="rId19" xr:uid="{CD1C795B-DEE1-4A3D-BAEE-966836B49645}"/>
    <hyperlink ref="B36" r:id="rId20" location="/@cbus/sname:prod/journey-optimizer/journey/report/" xr:uid="{0D69AD4E-FC9E-4770-BEA8-878143C26DC1}"/>
    <hyperlink ref="B37" r:id="rId21" location="/@cbus/sname:prod/journey-optimizer/journey/report/" xr:uid="{7966AE77-15E7-4414-8F44-70A06FD37891}"/>
    <hyperlink ref="B38" r:id="rId22" location="/@cbus/sname:prod/journey-optimizer/journey/report/" xr:uid="{007B7307-DAE8-4C59-9B0E-61DAF061B399}"/>
    <hyperlink ref="T38" r:id="rId23" xr:uid="{80C528DF-DF86-4AA5-9712-9644E18463E5}"/>
    <hyperlink ref="B39" r:id="rId24" location="/@cbus/sname:prod/journey-optimizer/journey/report/" xr:uid="{3EA65619-648B-4226-BC21-DD112A393B34}"/>
    <hyperlink ref="B40" r:id="rId25" location="/@cbus/sname:prod/journey-optimizer/journey/report/" xr:uid="{6A50FB70-4361-4A4A-8597-FD20C1C776E3}"/>
    <hyperlink ref="T40" r:id="rId26" xr:uid="{2807265D-0FEB-4DA3-9467-23B43793AC28}"/>
    <hyperlink ref="B41" r:id="rId27" location="/@cbus/sname:prod/journey-optimizer/journey/report/" xr:uid="{BF86ED98-C4FC-490B-82A2-1E7B662AAF8E}"/>
    <hyperlink ref="T41" r:id="rId28" xr:uid="{5B4E5916-CAC5-46BF-B547-1E09E876F427}"/>
    <hyperlink ref="B42" r:id="rId29" location="/@cbus/sname:prod/journey-optimizer/journey/report/" xr:uid="{718A159F-7DB9-4C4D-89D0-B70C27C5D3D5}"/>
    <hyperlink ref="B43" r:id="rId30" location="/@cbus/sname:prod/journey-optimizer/journey/report/" xr:uid="{A546A8C9-B167-4AE2-AC08-109160992486}"/>
    <hyperlink ref="T43" r:id="rId31" xr:uid="{494DFAFA-F054-4694-9D99-5F720211636C}"/>
    <hyperlink ref="B44" r:id="rId32" location="/@cbus/sname:prod/journey-optimizer/journey/report/" xr:uid="{3467574E-B2D5-4260-8C34-C3B74E187E8F}"/>
    <hyperlink ref="T44" r:id="rId33" xr:uid="{2F74430C-3EB7-487B-9CBF-2AAD0C2C0FA6}"/>
    <hyperlink ref="B45" r:id="rId34" location="/@cbus/sname:prod/journey-optimizer/journey/report/" xr:uid="{D3D2D665-8D3D-43AA-BBB0-DF6D8B430305}"/>
    <hyperlink ref="B46" r:id="rId35" location="/@cbus/sname:prod/journey-optimizer/journey/report/" xr:uid="{470CD288-9093-44C2-BF38-38C4854F0D81}"/>
    <hyperlink ref="B47" r:id="rId36" location="/@cbus/sname:prod/journey-optimizer/journey/report/" xr:uid="{9CC88A63-89BF-40D6-987B-9867FEEEE284}"/>
    <hyperlink ref="B48" r:id="rId37" location="/@cbus/sname:prod/journey-optimizer/journey/report/" xr:uid="{2709C24A-498E-4D26-885F-466015442851}"/>
    <hyperlink ref="B49" r:id="rId38" location="/@cbus/sname:prod/journey-optimizer/journey/report/" xr:uid="{3385EF29-E0D2-4D76-99E7-1EC4C63B7840}"/>
    <hyperlink ref="T49" r:id="rId39" xr:uid="{245CB35F-AEB4-4626-B1AC-931D9A52989B}"/>
    <hyperlink ref="B50" r:id="rId40" location="/@cbus/sname:prod/journey-optimizer/journey/report/" xr:uid="{D9492A26-7CBA-4D3F-8417-FC18D28567A4}"/>
    <hyperlink ref="T50" r:id="rId41" xr:uid="{4BC09B14-5D29-4C62-B27A-416DB8805BCE}"/>
    <hyperlink ref="B52" r:id="rId42" location="/@cbus/sname:prod/journey-optimizer/journey/report/#/workspace/template/ajo-journey/e518a319-9c52-4d1e-8c54-5a5bac7e98c1" xr:uid="{A2BDB7EC-9AD3-4235-A1A7-642AE613E9ED}"/>
    <hyperlink ref="B55" r:id="rId43" location="/@cbus/sname:prod/journey-optimizer/journey/report/#/workspace/template/ajo-journey/d7209149-fde7-4ac2-84e6-07fd80500573" xr:uid="{E5F4D382-0940-414B-873F-7DCD1A6E9A77}"/>
    <hyperlink ref="B56" r:id="rId44" location="/@cbus/sname:prod/journey-optimizer/journey/report/#/workspace/template/ajo-journey/d7209149-fde7-4ac2-84e6-07fd80500573" xr:uid="{16BF20E7-77DD-4BB3-857E-F5A57ED82437}"/>
    <hyperlink ref="B57" r:id="rId45" location="/@cbus/sname:prod/journey-optimizer/journey/report/#/workspace/template/ajo-journey/89e3bf9a-c9fc-4381-a3e2-79ec60962cf0" xr:uid="{4EDBF3D5-6DA6-4FCA-8ACF-500EC991ED81}"/>
    <hyperlink ref="B58" r:id="rId46" location="/@cbus/sname:prod/journey-optimizer/journey/report/#/workspace/template/ajo-journey/89e3bf9a-c9fc-4381-a3e2-79ec60962cf0" xr:uid="{2AF92528-8BD3-4868-B729-F4F279A39FCA}"/>
    <hyperlink ref="B59" r:id="rId47" location="/@cbus/sname:prod/journey-optimizer/journey/report/#/workspace/template/ajo-journey/89e3bf9a-c9fc-4381-a3e2-79ec60962cf0" xr:uid="{6BBEF60F-8B65-4A79-ADDE-EB21F252A19F}"/>
    <hyperlink ref="B60" r:id="rId48" location="/@cbus/sname:prod/journey-optimizer/journey/report/#/workspace/template/ajo-journey/ae73d654-f7fb-4218-a985-79965ed53f32" xr:uid="{954DE631-4AD1-4F6A-AD31-CD32EA8B4201}"/>
    <hyperlink ref="B61" r:id="rId49" location="/@cbus/sname:prod/journey-optimizer/journey/report/#/workspace/template/ajo-journey/ae73d654-f7fb-4218-a985-79965ed53f32" xr:uid="{4AEC9A73-D011-4F8F-831D-2ED9FD4C360F}"/>
    <hyperlink ref="B62" r:id="rId50" location="/@cbus/sname:prod/journey-optimizer/journey/report/#/workspace/template/ajo-journey/8358282e-963a-4b3a-95a3-3c1846825c9c" xr:uid="{9D738D17-1038-41E7-8874-427450678220}"/>
    <hyperlink ref="B63" r:id="rId51" location="/@cbus/sname:prod/journey-optimizer/journey/report/#/workspace/template/ajo-journey/a7179232-e11e-42a4-af3e-d7e193714354" xr:uid="{EA0FFA1E-222A-4B01-ABBC-24D970EBAA32}"/>
    <hyperlink ref="B64" r:id="rId52" location="/@cbus/sname:prod/journey-optimizer/journey/report/#/workspace/template/ajo-journey/8358282e-963a-4b3a-95a3-3c1846825c9c" xr:uid="{2574985B-6EAB-472B-80E6-6E3B2AB93B23}"/>
    <hyperlink ref="B65" r:id="rId53" location="/@cbus/sname:prod/journey-optimizer/journey/report/#/workspace/template/ajo-journey/a7179232-e11e-42a4-af3e-d7e193714354" xr:uid="{F5B8B2DF-7A74-49A2-A2F5-9008BA00A606}"/>
    <hyperlink ref="B66" r:id="rId54" location="/@cbus/sname:prod/journey-optimizer/journey/report/#/workspace/template/ajo-journey/cbafab5a-039f-4e19-b165-5c9aea855168" xr:uid="{D4529263-2C4B-4EA0-9F65-F8ABA2249DE3}"/>
    <hyperlink ref="B67" r:id="rId55" location="/@cbus/sname:prod/journey-optimizer/journey/report/#/workspace/template/ajo-journey/cbafab5a-039f-4e19-b165-5c9aea855168" xr:uid="{5A26ACD1-AB40-442B-8AB2-9E9C4E3ECCBC}"/>
    <hyperlink ref="B68" r:id="rId56" location="/@cbus/sname:prod/journey-optimizer/journey/report/#/workspace/template/ajo-journey/cbafab5a-039f-4e19-b165-5c9aea855168" xr:uid="{EAF78E21-1146-49BC-8045-9AFCA39B89CA}"/>
    <hyperlink ref="B69" r:id="rId57" location="/@cbus/sname:prod/journey-optimizer/journey/report/#/workspace/template/ajo-journey/cbafab5a-039f-4e19-b165-5c9aea855168" xr:uid="{28ED1B0A-A1CC-4728-A355-012185F03892}"/>
    <hyperlink ref="B70" r:id="rId58" location="/@cbus/sname:prod/journey-optimizer/journey/report/#/workspace/template/ajo-journey/8c062c79-30ff-4ef1-80d7-e40490c50fab" xr:uid="{027F9F21-DD79-4E7F-84BF-C747462D69E3}"/>
    <hyperlink ref="B71" r:id="rId59" location="/@cbus/sname:prod/journey-optimizer/journey/report/#/workspace/template/ajo-journey/8c062c79-30ff-4ef1-80d7-e40490c50fab" xr:uid="{58572690-7F1F-4B5B-BA63-277401D7E0C9}"/>
    <hyperlink ref="B72" r:id="rId60" location="/@cbus/sname:prod/journey-optimizer/journey/report/#/workspace/template/ajo-journey/6c2633f2-243d-40d9-b2d1-214cd45324a9" xr:uid="{DF4446CB-3D4D-48B2-837C-D2106D21876F}"/>
    <hyperlink ref="B73" r:id="rId61" location="/@cbus/sname:prod/journey-optimizer/journey/report/#/workspace/template/ajo-journey/6c2633f2-243d-40d9-b2d1-214cd45324a9" xr:uid="{02A02244-10C1-4081-A6DA-6F14C931041B}"/>
    <hyperlink ref="B74" r:id="rId62" location="/@cbus/sname:prod/journey-optimizer/journey/report/#/workspace/template/ajo-journey/2b3a8bd7-9314-4486-bed5-590aae72eef6" xr:uid="{EF2202C5-339E-4A39-94B8-399C10BDF962}"/>
    <hyperlink ref="T74" r:id="rId63" xr:uid="{85F20120-F90C-4748-9202-20D37C9807B0}"/>
    <hyperlink ref="B75" r:id="rId64" location="/@cbus/sname:prod/journey-optimizer/journey/report/#/workspace/template/ajo-journey/837cd468-99da-4b6c-86ed-a729c8dedaed" xr:uid="{9030D11E-57C3-4602-A585-25C54C48F113}"/>
    <hyperlink ref="T75" r:id="rId65" xr:uid="{C01F4EDF-6E5B-4CA6-9833-C0D592BBBA2D}"/>
    <hyperlink ref="B76" r:id="rId66" location="/@cbus/sname:prod/journey-optimizer/journey/report/#/workspace/template/ajo-journey/1c60eb15-5315-4d97-bc92-f3321a8f2bb8" xr:uid="{A21B0A80-8C2C-4471-8BAA-32E1E26F2EBC}"/>
    <hyperlink ref="T76" r:id="rId67" xr:uid="{5C3CA551-F1FB-44EC-ABA8-0EEC76F44515}"/>
    <hyperlink ref="B77" r:id="rId68" location="/@cbus/sname:prod/journey-optimizer/journey/report/#/workspace/template/ajo-journey/10c562f8-f91d-4456-8e2f-4ac211353527" xr:uid="{AD908BBB-EBC2-4988-9366-54DCE0F6D22C}"/>
    <hyperlink ref="T77" r:id="rId69" xr:uid="{49751625-941F-4A41-A3B2-1BDDB135331D}"/>
    <hyperlink ref="B78" r:id="rId70" location="/@cbus/sname:prod/journey-optimizer/journey/report/#/workspace/template/ajo-journey/10c562f8-f91d-4456-8e2f-4ac211353527" xr:uid="{D7C2741E-CA87-4D56-A386-6DAECA2D679B}"/>
    <hyperlink ref="T78" r:id="rId71" xr:uid="{264379A6-C94E-4D10-B837-68A5B063956F}"/>
    <hyperlink ref="B79" r:id="rId72" location="/@cbus/sname:prod/journey-optimizer/journey/report/#/workspace/template/ajo-journey/d0d232aa-3290-434d-8c3f-c589a73ea607" xr:uid="{A804D1EF-CAF9-4180-ACE7-A807ABD697AA}"/>
    <hyperlink ref="T79" r:id="rId73" xr:uid="{A5C5FAFC-8A24-4D4F-90A8-BE6F5DF679EF}"/>
    <hyperlink ref="B80" r:id="rId74" location="/@cbus/sname:prod/journey-optimizer/journey/report/#/workspace/template/ajo-journey/d0d232aa-3290-434d-8c3f-c589a73ea607" xr:uid="{BDE21F35-EE2F-4304-ACE0-AABB04DDDD1D}"/>
    <hyperlink ref="T80" r:id="rId75" xr:uid="{1DE93010-CF6A-4DFF-9AAA-BBDDBB1336FC}"/>
    <hyperlink ref="B81" r:id="rId76" location="/@cbus/sname:prod/journey-optimizer/journey/report/#/workspace/template/ajo-journey/d5aac9ae-16b6-46ce-9310-1ba0004b45ea" xr:uid="{5AAF1940-0E4B-4226-AA8E-B0345CB23672}"/>
    <hyperlink ref="T81" r:id="rId77" xr:uid="{15EBD928-2DDB-4011-9DA1-259EC2A153E1}"/>
    <hyperlink ref="B82" r:id="rId78" location="/@cbus/sname:prod/journey-optimizer/journey/report/#/workspace/template/ajo-journey/2be0e003-3e51-476c-86ea-8a1f8913d899" xr:uid="{845E7087-84EA-4F8E-8322-18C90784D2A6}"/>
    <hyperlink ref="T82" r:id="rId79" xr:uid="{246BFEDB-6386-475C-849D-D8CDBBC7E1D4}"/>
    <hyperlink ref="B83" r:id="rId80" location="/@cbus/sname:prod/journey-optimizer/journey/report/#/workspace/template/ajo-journey/2be0e003-3e51-476c-86ea-8a1f8913d899" xr:uid="{CDE42FF2-C14C-4E58-83CB-D2D1D8F9CC75}"/>
    <hyperlink ref="T83" r:id="rId81" xr:uid="{00024EAC-87FF-413B-A9E9-E420F2C62F7C}"/>
    <hyperlink ref="B84" r:id="rId82" location="/@cbus/sname:prod/journey-optimizer/journey/report/#/workspace/template/ajo-journey/3cb123bc-fd8e-4868-82f1-14995d53c591" xr:uid="{2BBD06A5-1912-494D-8B74-1BDF5D836108}"/>
    <hyperlink ref="T84" r:id="rId83" xr:uid="{79E254C6-5FBC-42E0-ADE4-AB1335B8D46F}"/>
    <hyperlink ref="B85" r:id="rId84" location="/@cbus/sname:prod/journey-optimizer/journey/report/#/workspace/template/ajo-journey/3cb123bc-fd8e-4868-82f1-14995d53c591" xr:uid="{402356C6-447E-491A-8CC4-8406D2359EB1}"/>
    <hyperlink ref="T85" r:id="rId85" xr:uid="{0554F2B0-47A7-494F-ABF8-6FA6E4FD1A82}"/>
    <hyperlink ref="B86" r:id="rId86" location="/@cbus/sname:prod/journey-optimizer/journey/report/#/workspace/template/ajo-journey/47e8e523-4417-4b5b-90e5-f72b14e59a38" xr:uid="{E5209322-BEBE-4E21-9C18-CD7560646054}"/>
    <hyperlink ref="T86" r:id="rId87" xr:uid="{FF7947FF-A98D-4D22-8FEB-75A11C2CED8C}"/>
    <hyperlink ref="B87" r:id="rId88" location="/@cbus/sname:prod/journey-optimizer/journey/report/#/workspace/template/ajo-journey/bcdec3d6-9690-4399-8cce-1c945390b466" xr:uid="{15C03FC7-3D29-46D9-826A-4AA068021D90}"/>
    <hyperlink ref="T87" r:id="rId89" xr:uid="{301FAE15-2C2D-44EA-9EA4-F0B2E91C70E4}"/>
    <hyperlink ref="B88" r:id="rId90" location="/@cbus/sname:prod/journey-optimizer/journey/report/#/workspace/template/ajo-journey/bcdec3d6-9690-4399-8cce-1c945390b466" xr:uid="{9325ECA4-8DAC-4271-9555-1441C9F6A19F}"/>
    <hyperlink ref="T88" r:id="rId91" xr:uid="{4A885F38-F455-4DB2-80C0-9CAFDF4097FC}"/>
    <hyperlink ref="B89" r:id="rId92" location="/@cbus/sname:prod/journey-optimizer/journey/report/#/workspace/template/ajo-journey/50c38354-a1aa-4221-89a9-67b1c2af5d56" xr:uid="{2E58683B-3F9F-48D0-A692-7BCDA36DF1C6}"/>
    <hyperlink ref="T89" r:id="rId93" xr:uid="{073A509F-459C-4BCF-BCE3-E27DF0D79D7E}"/>
    <hyperlink ref="B90" r:id="rId94" location="/@cbus/sname:prod/journey-optimizer/journey/report/#/workspace/template/ajo-journey/e48b4e16-bdcf-44b1-87db-8546a575ba4e" xr:uid="{E6E28D78-3DA2-4BEA-945C-8415F0EA2007}"/>
    <hyperlink ref="B91" r:id="rId95" location="/@cbus/sname:prod/journey-optimizer/journey/report/#/workspace/template/ajo-journey/e48b4e16-bdcf-44b1-87db-8546a575ba4e" xr:uid="{1C3189F9-A187-476C-9956-014A61655399}"/>
    <hyperlink ref="T91" r:id="rId96" xr:uid="{B5DC7A37-25B0-4A94-8258-2315F89489F4}"/>
    <hyperlink ref="B92" r:id="rId97" location="/@cbus/sname:prod/journey-optimizer/journey/report/#/workspace/template/ajo-journey/e48b4e16-bdcf-44b1-87db-8546a575ba4e" xr:uid="{87228B21-967C-444D-8619-27C64EBF9A67}"/>
    <hyperlink ref="B93" r:id="rId98" location="/@cbus/sname:prod/journey-optimizer/journey/report/#/workspace/template/ajo-journey/7e56f57e-12e2-49c0-9e51-de68fe9cf789" xr:uid="{97CDD62E-4642-4F1E-A25E-E277E1066B0A}"/>
    <hyperlink ref="T93" r:id="rId99" xr:uid="{65D3E845-F754-476C-934F-9005AB421908}"/>
    <hyperlink ref="B94" r:id="rId100" location="/@cbus/sname:prod/journey-optimizer/journey/report/#/workspace/template/ajo-journey/7e56f57e-12e2-49c0-9e51-de68fe9cf789" xr:uid="{2CFA6086-8D2A-44B3-B948-C9702E776171}"/>
    <hyperlink ref="T94" r:id="rId101" xr:uid="{C5DB2478-27B0-4B95-A39D-428274E7048E}"/>
    <hyperlink ref="B95" r:id="rId102" location="/@cbus/sname:prod/journey-optimizer/journey/report/#/workspace/template/ajo-journey/bca1837c-0f90-4529-9649-68676fad5162" xr:uid="{63C0F73A-CDE0-4FFD-B82E-D58D51AF2910}"/>
    <hyperlink ref="T95" r:id="rId103" xr:uid="{8F949EE7-2206-4960-AC4A-044718E69AA9}"/>
    <hyperlink ref="B96" r:id="rId104" location="/@cbus/sname:prod/journey-optimizer/journey/report/#/workspace/template/ajo-journey/bca1837c-0f90-4529-9649-68676fad5162" xr:uid="{0C227CCD-29BD-4884-9812-4853DDF87C0F}"/>
    <hyperlink ref="T96" r:id="rId105" xr:uid="{7278FDBE-E8A0-4AEF-A49E-F6F8AFBE84C3}"/>
    <hyperlink ref="B97" r:id="rId106" location="/@cbus/sname:prod/journey-optimizer/journey/report/#/workspace/template/ajo-journey/f089ea09-6c3a-40ce-a12b-446940edf922" xr:uid="{3D052941-E38D-443E-9BC0-834F1BB7908C}"/>
    <hyperlink ref="T97" r:id="rId107" xr:uid="{BDD1D45B-0582-490C-982F-394362AF8111}"/>
    <hyperlink ref="B98" r:id="rId108" location="/@cbus/sname:prod/journey-optimizer/journey/report/#/workspace/template/ajo-journey/f089ea09-6c3a-40ce-a12b-446940edf922" xr:uid="{DAE84A01-BE78-4145-B933-D9DB07D96A1D}"/>
    <hyperlink ref="T98" r:id="rId109" xr:uid="{845AA420-8E48-4716-8449-AD37307C479C}"/>
    <hyperlink ref="B99" r:id="rId110" location="/@cbus/sname:prod/journey-optimizer/journey/report/#/workspace/template/ajo-journey/f089ea09-6c3a-40ce-a12b-446940edf922" xr:uid="{10F4FC5C-D7F2-4139-B0D3-A741251B4D66}"/>
    <hyperlink ref="T99" r:id="rId111" xr:uid="{839CA69D-A3CB-4705-A75A-A60A212A80A8}"/>
    <hyperlink ref="B100" r:id="rId112" location="/@cbus/sname:prod/journey-optimizer/journey/report/#/workspace/template/ajo-journey/92b3dff9-2ac0-41da-8e22-ce0ba4df098d" xr:uid="{8D1B511A-4A7A-4087-85E4-D0179F847E17}"/>
    <hyperlink ref="T100" r:id="rId113" xr:uid="{7388094A-247A-4A12-A80F-01D3AC60BADB}"/>
    <hyperlink ref="B101" r:id="rId114" location="/@cbus/sname:prod/journey-optimizer/journey/report/#/workspace/template/ajo-journey/92b3dff9-2ac0-41da-8e22-ce0ba4df098d" xr:uid="{123CA3D9-842F-4BC0-8861-0984B54A01C8}"/>
    <hyperlink ref="T101" r:id="rId115" xr:uid="{F28C53F2-F5A7-4181-9A22-6B3F3223D4A4}"/>
    <hyperlink ref="B103" r:id="rId116" location="/@cbus/sname:prod/journey-optimizer/journey/report/#/workspace/template/ajo-journey/e518a319-9c52-4d1e-8c54-5a5bac7e98c1" xr:uid="{46BACE2C-5683-41CB-B88E-DDB7AC1C2CAD}"/>
    <hyperlink ref="B106" r:id="rId117" location="/@cbus/sname:prod/journey-optimizer/journey/report/#/workspace/template/ajo-journey/d7209149-fde7-4ac2-84e6-07fd80500573" xr:uid="{E50AEE99-0CC3-451D-8D6C-4E6023382A35}"/>
    <hyperlink ref="B107" r:id="rId118" location="/@cbus/sname:prod/journey-optimizer/journey/report/#/workspace/template/ajo-journey/785d6f2f-8292-422a-9833-2d2802ca7fa1" xr:uid="{9B61AE26-0C0A-4FF0-936D-1F30952CCB0B}"/>
    <hyperlink ref="B108" r:id="rId119" location="/@cbus/sname:prod/journey-optimizer/journey/report/#/workspace/template/ajo-journey/d7209149-fde7-4ac2-84e6-07fd80500573" xr:uid="{359E050A-C7A2-4B10-A8F0-00B6647D9B43}"/>
    <hyperlink ref="B109" r:id="rId120" location="/@cbus/sname:prod/journey-optimizer/journey/report/#/workspace/template/ajo-journey/ae73d654-f7fb-4218-a985-79965ed53f32" xr:uid="{38704742-3F49-45BF-AFA6-3CC35FF000A7}"/>
    <hyperlink ref="B110" r:id="rId121" location="/@cbus/sname:prod/journey-optimizer/journey/report/#/workspace/template/ajo-journey/ae73d654-f7fb-4218-a985-79965ed53f32" xr:uid="{85D6B402-DAB7-4886-98D9-F7606A1764D8}"/>
    <hyperlink ref="B111" r:id="rId122" location="/@cbus/sname:prod/journey-optimizer/journey/report/#/workspace/template/ajo-journey/8358282e-963a-4b3a-95a3-3c1846825c9c" xr:uid="{5C3485C1-9252-42DE-99DC-B8CA3FF88023}"/>
    <hyperlink ref="B112" r:id="rId123" location="/@cbus/sname:prod/journey-optimizer/journey/report/#/workspace/template/ajo-journey/a7179232-e11e-42a4-af3e-d7e193714354" xr:uid="{95B54ED5-990E-4044-814A-9D4C4A967A1F}"/>
    <hyperlink ref="B113" r:id="rId124" location="/@cbus/sname:prod/journey-optimizer/journey/report/#/workspace/template/ajo-journey/8358282e-963a-4b3a-95a3-3c1846825c9c" xr:uid="{1ACC18D7-4EE6-447E-8137-92DC9B99A9BD}"/>
    <hyperlink ref="B114" r:id="rId125" location="/@cbus/sname:prod/journey-optimizer/journey/report/#/workspace/template/ajo-journey/a7179232-e11e-42a4-af3e-d7e193714354" xr:uid="{DDA15284-3D8A-47E0-B777-5A863067BDFA}"/>
    <hyperlink ref="B115" r:id="rId126" location="/@cbus/sname:prod/journey-optimizer/journey/report/#/workspace/template/ajo-journey/cbafab5a-039f-4e19-b165-5c9aea855168" xr:uid="{FED7CEC0-2BEC-43AE-9240-8D632FE5B195}"/>
    <hyperlink ref="B116" r:id="rId127" location="/@cbus/sname:prod/journey-optimizer/journey/report/#/workspace/template/ajo-journey/cbafab5a-039f-4e19-b165-5c9aea855168" xr:uid="{741E3044-4ACD-415C-B2D7-C44BDFC639F6}"/>
    <hyperlink ref="B117" r:id="rId128" location="/@cbus/sname:prod/journey-optimizer/journey/report/#/workspace/template/ajo-journey/cbafab5a-039f-4e19-b165-5c9aea855168" xr:uid="{E6E0292A-56D2-4CC9-85CB-68B16DF58FB2}"/>
    <hyperlink ref="B118" r:id="rId129" location="/@cbus/sname:prod/journey-optimizer/journey/report/#/workspace/template/ajo-journey/cbafab5a-039f-4e19-b165-5c9aea855168" xr:uid="{E4564173-AEC7-421E-9B0B-4AF7BC0434E7}"/>
    <hyperlink ref="B119" r:id="rId130" location="/@cbus/sname:prod/journey-optimizer/journey/report/#/workspace/template/ajo-journey/8c062c79-30ff-4ef1-80d7-e40490c50fab" xr:uid="{1EF52CF2-71FC-4320-BCCE-98DE158E1153}"/>
    <hyperlink ref="B120" r:id="rId131" location="/@cbus/sname:prod/journey-optimizer/journey/report/#/workspace/template/ajo-journey/8c062c79-30ff-4ef1-80d7-e40490c50fab" xr:uid="{C459D30D-9317-4B66-96F4-0FC3B7487D0C}"/>
    <hyperlink ref="B121" r:id="rId132" location="/@cbus/sname:prod/journey-optimizer/journey/report/#/workspace/template/ajo-journey/6c2633f2-243d-40d9-b2d1-214cd45324a9" xr:uid="{0B14B439-5741-486B-A429-656D370BBC12}"/>
    <hyperlink ref="B122" r:id="rId133" location="/@cbus/sname:prod/journey-optimizer/journey/report/#/workspace/template/ajo-journey/6c2633f2-243d-40d9-b2d1-214cd45324a9" xr:uid="{026184BB-1C14-4FAB-9BE2-E3C487D24D5B}"/>
    <hyperlink ref="B123" r:id="rId134" location="/@cbus/sname:prod/journey-optimizer/journey/report/#/workspace/template/ajo-journey/b4838304-27ee-40d6-a2c5-fbe51637f011" xr:uid="{8881BE55-7B27-4732-9A60-6F35D488777E}"/>
    <hyperlink ref="T123" r:id="rId135" xr:uid="{1DA7B15F-2F7C-45CE-8F55-6C060FAF812B}"/>
    <hyperlink ref="B124" r:id="rId136" location="/@cbus/sname:prod/journey-optimizer/journey/report/#/workspace/template/ajo-journey/b4838304-27ee-40d6-a2c5-fbe51637f011" xr:uid="{BEE7C13E-857B-43E2-9500-7F6E592C66C8}"/>
    <hyperlink ref="T124" r:id="rId137" xr:uid="{4BA73FC4-8EEF-4FFA-9AC4-0C8CAB346C87}"/>
    <hyperlink ref="B125" r:id="rId138" location="/@cbus/sname:prod/journey-optimizer/journey/report/#/workspace/template/ajo-journey/6a792d2d-ca50-468a-9456-895d03fadfd6" xr:uid="{493DE4EC-9577-4CF5-BDEB-7AF1BEF73D71}"/>
    <hyperlink ref="T125" r:id="rId139" xr:uid="{A7825BC5-F0CB-4878-8F5F-45D596447FB6}"/>
    <hyperlink ref="B126" r:id="rId140" location="/@cbus/sname:prod/journey-optimizer/journey/report/#/workspace/template/ajo-journey/283624f3-e567-4929-b8bc-d33a9f46ea1e" xr:uid="{D13E7329-EA74-4EE9-97F6-7A6C903BE284}"/>
    <hyperlink ref="T126" r:id="rId141" xr:uid="{6425637A-95CF-464D-B96A-86630455BF0A}"/>
    <hyperlink ref="B127" r:id="rId142" location="/@cbus/sname:prod/journey-optimizer/journey/report/#/workspace/template/ajo-journey/738d4a66-5e39-4d8d-a98d-63f9d66dd930" xr:uid="{74DCF31E-2B41-4501-8829-8808DDE8C495}"/>
    <hyperlink ref="T127" r:id="rId143" xr:uid="{225DA5AA-358B-4D4B-9260-674543195C4D}"/>
    <hyperlink ref="B128" r:id="rId144" location="/@cbus/sname:prod/journey-optimizer/journey/report/#/workspace/template/ajo-journey/6e06488a-6cb6-428b-9ed6-c8c73ef8b763" xr:uid="{8F1CFB71-0E66-4C7B-837A-33F809189F42}"/>
    <hyperlink ref="T128" r:id="rId145" xr:uid="{74ABA5AB-B03A-43E8-B229-D791E39D55C3}"/>
    <hyperlink ref="B129" r:id="rId146" location="/@cbus/sname:prod/journey-optimizer/journey/report/#/workspace/template/ajo-journey/df53f790-6392-4a01-a73f-f23a41796609" xr:uid="{9A5E822E-85CD-42AF-9F91-A908934BE100}"/>
    <hyperlink ref="T129" r:id="rId147" xr:uid="{3CFC0EF8-6849-4E94-919E-C49C69927397}"/>
    <hyperlink ref="B130" r:id="rId148" location="/@cbus/sname:prod/journey-optimizer/journey/report/#/workspace/template/ajo-journey/df53f790-6392-4a01-a73f-f23a41796609" xr:uid="{FDACF681-DF36-4F17-8F47-48779A9B57C6}"/>
    <hyperlink ref="T130" r:id="rId149" xr:uid="{3B2AB84E-DF0D-4B9E-B4CE-41699C0819B8}"/>
    <hyperlink ref="B131" r:id="rId150" location="/@cbus/sname:prod/journey-optimizer/journey/report/#/workspace/template/ajo-journey/df53f790-6392-4a01-a73f-f23a41796609" xr:uid="{87336C24-9ECC-4405-B872-066829B3F470}"/>
    <hyperlink ref="T131" r:id="rId151" xr:uid="{FA57580E-FBAE-4B2E-A43A-41B4AB2E314E}"/>
    <hyperlink ref="B132" r:id="rId152" location="/@cbus/sname:prod/journey-optimizer/journey/report/#/workspace/template/ajo-journey/df53f790-6392-4a01-a73f-f23a41796609" xr:uid="{9C6D6F83-979A-45A3-A3BB-FDC0736382F7}"/>
    <hyperlink ref="T132" r:id="rId153" xr:uid="{B46595DE-551D-45CC-B9DA-607F89FF6F93}"/>
    <hyperlink ref="B133" r:id="rId154" location="/@cbus/sname:prod/journey-optimizer/journey/report/#/workspace/template/ajo-journey/4a7d9c16-ca7f-44aa-a2ef-4239c50d26cc" xr:uid="{0938FF80-F71C-4474-9F48-63CDF843F78F}"/>
    <hyperlink ref="T133" r:id="rId155" xr:uid="{4033D005-8962-4006-B451-29F2E54C13ED}"/>
    <hyperlink ref="B134" r:id="rId156" location="/@cbus/sname:prod/journey-optimizer/journey/report/#/workspace/template/ajo-journey/c24482ca-6dff-4676-bc67-415d108359fd" xr:uid="{B2A15AB8-61DE-45F2-BA99-D200273F2224}"/>
    <hyperlink ref="T134" r:id="rId157" xr:uid="{11BA8500-C24A-4BE4-B1D6-517FBCCD187D}"/>
    <hyperlink ref="T135" r:id="rId158" xr:uid="{ADE1585F-3608-48BE-B798-D7FE104A83E4}"/>
    <hyperlink ref="T136" r:id="rId159" xr:uid="{915EE0A7-A621-409D-9320-E298F19D3ADB}"/>
    <hyperlink ref="B137" r:id="rId160" location="/@cbus/sname:prod/journey-optimizer/journey/report/#/workspace/template/ajo-journey/1428586f-9ad2-4562-8874-284efe3c0c8d" xr:uid="{97F6470C-3E58-455C-BF65-30297172FA34}"/>
    <hyperlink ref="T137" r:id="rId161" xr:uid="{985221E8-9EA7-4DEF-8726-12C57EFF91B4}"/>
    <hyperlink ref="B138" r:id="rId162" location="/@cbus/sname:prod/journey-optimizer/journey/report/#/workspace/template/ajo-journey/1428586f-9ad2-4562-8874-284efe3c0c8d" xr:uid="{5C03FB0E-2781-4502-81C9-84C553EE105C}"/>
    <hyperlink ref="T138" r:id="rId163" xr:uid="{A7823902-4A04-4234-961C-E0E362519A8C}"/>
    <hyperlink ref="B139" r:id="rId164" location="/@cbus/sname:prod/journey-optimizer/journey/report/#/workspace/template/ajo-journey/92edf682-d87c-422d-8e7b-bb7d146dc839" xr:uid="{7A7D2F19-F298-4633-A992-A65B4FCC7120}"/>
    <hyperlink ref="T139" r:id="rId165" xr:uid="{B61D6E1D-7E7A-47E1-9799-E41F76496C82}"/>
    <hyperlink ref="B140" r:id="rId166" location="/@cbus/sname:prod/journey-optimizer/journey/report/#/workspace/template/ajo-journey/23e4f381-4c2b-457e-b600-83d098bf6354" xr:uid="{2BD8A03D-5836-4D00-BCB8-E36E8C5759A8}"/>
    <hyperlink ref="B141" r:id="rId167" location="/@cbus/sname:prod/journey-optimizer/journey/report/#/workspace/template/ajo-journey/23e4f381-4c2b-457e-b600-83d098bf6354" xr:uid="{F4CBA287-07DF-4FA2-9754-403844956C2D}"/>
    <hyperlink ref="T142" r:id="rId168" xr:uid="{E2874713-A1F4-4FC7-BF01-8AC8E914083E}"/>
    <hyperlink ref="B143" r:id="rId169" location="/@cbus/sname:prod/journey-optimizer/journey/report/#/workspace/template/ajo-journey/39dddfa5-71d3-4db1-89ec-f3482f49b94b" xr:uid="{856AEE26-2CAA-4613-B2A5-04F7ED8B8E7D}"/>
    <hyperlink ref="T143" r:id="rId170" xr:uid="{20B0C1EA-5E4F-47E3-B29F-D23CB7C17836}"/>
    <hyperlink ref="B144" r:id="rId171" location="/@cbus/sname:prod/journey-optimizer/journey/report/#/workspace/template/ajo-journey/39dddfa5-71d3-4db1-89ec-f3482f49b94b" xr:uid="{E10254D3-1FD6-4A6B-8B5F-4E13B2490FE4}"/>
    <hyperlink ref="T144" r:id="rId172" xr:uid="{CD98ADBB-FE75-45C5-8F38-A266873B353B}"/>
    <hyperlink ref="B145" r:id="rId173" location="/@cbus/sname:prod/journey-optimizer/journey/report/#/workspace/template/ajo-journey/35d680d6-e62b-40a2-98e9-8980addab421" xr:uid="{0DC254BF-29F1-4F3C-8825-1137B85852BD}"/>
    <hyperlink ref="B146" r:id="rId174" location="/@cbus/sname:prod/journey-optimizer/journey/report/#/workspace/template/ajo-journey/35d680d6-e62b-40a2-98e9-8980addab421" xr:uid="{7CC77B80-2F20-4B41-934E-E880EDA0D231}"/>
    <hyperlink ref="B147" r:id="rId175" location="/@cbus/sname:prod/journey-optimizer/journey/report/#/workspace/template/ajo-journey/bd610eaf-020d-4ee0-8920-be3e08a37a25" xr:uid="{D4B74AE5-CFBD-4B36-961A-C9757029C743}"/>
    <hyperlink ref="T147" r:id="rId176" xr:uid="{431A30F9-EBC5-4510-97EB-53715A182BBF}"/>
    <hyperlink ref="B148" r:id="rId177" location="/@cbus/sname:prod/journey-optimizer/journey/report/#/workspace/template/ajo-journey/3df19f42-c622-481a-a0cc-b64ea8f94164" xr:uid="{9AE32818-2937-42FE-9C52-3790472A1738}"/>
    <hyperlink ref="T148" r:id="rId178" xr:uid="{44E8F728-FC54-43A2-9891-9261BA59F269}"/>
    <hyperlink ref="B149" r:id="rId179" location="/@cbus/sname:prod/journey-optimizer/journey/report/#/workspace/template/ajo-journey/3cbde0fd-ec21-4c5d-bbac-0292e906b9e5" xr:uid="{28229108-DDAD-49A7-BD12-DFE974C0A9F3}"/>
    <hyperlink ref="T149" r:id="rId180" xr:uid="{91CD2F97-B5D2-40BE-8089-F51C2AACEC4A}"/>
    <hyperlink ref="B150" r:id="rId181" location="/@cbus/sname:prod/journey-optimizer/journey/report/#/workspace/template/ajo-journey/3cbde0fd-ec21-4c5d-bbac-0292e906b9e5" xr:uid="{5CC75A48-5EA4-4C61-891C-AF783EAE883B}"/>
    <hyperlink ref="T150" r:id="rId182" xr:uid="{0B08D918-C189-44BC-AF13-65A7A7D156D9}"/>
    <hyperlink ref="B151" r:id="rId183" location="/@cbus/sname:prod/journey-optimizer/journey/report/#/workspace/template/ajo-journey/3cbde0fd-ec21-4c5d-bbac-0292e906b9e5" xr:uid="{74FF738E-67CE-4B3D-8224-37BA37125842}"/>
    <hyperlink ref="T151" r:id="rId184" xr:uid="{39591F4C-C34D-4B01-9AD1-F6319AADF9DB}"/>
    <hyperlink ref="B152" r:id="rId185" location="/@cbus/sname:prod/journey-optimizer/journey/report/#/workspace/template/ajo-journey/3cbde0fd-ec21-4c5d-bbac-0292e906b9e5" xr:uid="{3A2863B2-E8A8-45D2-B2A6-4947C79B8F58}"/>
    <hyperlink ref="T152" r:id="rId186" xr:uid="{84A3365C-6CEE-4D12-8799-C923705F2305}"/>
    <hyperlink ref="B153" r:id="rId187" location="/@cbus/sname:prod/journey-optimizer/journey/report/#/workspace/template/ajo-journey/6c2633f2-243d-40d9-b2d1-214cd45324a9" xr:uid="{A6D7FF46-7AF0-41B9-83F5-30117CEA69C5}"/>
    <hyperlink ref="T153" r:id="rId188" xr:uid="{0577C4A5-752E-4885-BF63-C85B35AA5747}"/>
    <hyperlink ref="B154" r:id="rId189" location="/@cbus/sname:prod/journey-optimizer/journey/report/#/workspace/template/ajo-journey/6c2633f2-243d-40d9-b2d1-214cd45324a9" xr:uid="{BB472EAC-3263-4A9D-B9B1-70AFC16213F9}"/>
    <hyperlink ref="T154" r:id="rId190" xr:uid="{9864CCE2-6A6E-4074-BDBC-D132C36D1812}"/>
    <hyperlink ref="B155" r:id="rId191" location="/@cbus/sname:prod/journey-optimizer/journey/report/#/workspace/template/ajo-journey/d7209149-fde7-4ac2-84e6-07fd80500573" xr:uid="{0244A9E3-146D-42E8-8A49-6AC2C111C583}"/>
    <hyperlink ref="B156" r:id="rId192" location="/@cbus/sname:prod/journey-optimizer/journey/report/#/workspace/template/ajo-journey/d7209149-fde7-4ac2-84e6-07fd80500573" xr:uid="{83FCE3A0-DEAD-45F0-89C4-A59BDDA575AA}"/>
    <hyperlink ref="B157" r:id="rId193" location="/@cbus/sname:prod/journey-optimizer/journey/report/#/workspace/template/ajo-journey/9efc2441-6827-4717-9013-680afb8db7de" xr:uid="{EFA05C94-3989-423A-A661-234D8D5DE03C}"/>
    <hyperlink ref="T157" r:id="rId194" xr:uid="{2B675CA9-A967-4869-9662-335F67050D86}"/>
    <hyperlink ref="B158" r:id="rId195" location="/@cbus/sname:prod/journey-optimizer/journey/report/#/workspace/template/ajo-journey/9efc2441-6827-4717-9013-680afb8db7de" xr:uid="{D0DD6E88-F97F-4D75-A024-29232D79B851}"/>
    <hyperlink ref="T158" r:id="rId196" xr:uid="{2D8FE22C-236E-4133-B799-39053F07C152}"/>
    <hyperlink ref="B159" r:id="rId197" location="/@cbus/sname:prod/journey-optimizer/journey/report/#/workspace/template/ajo-journey/745dc927-64df-462b-8819-760afc248605" xr:uid="{430063E0-40D8-4296-BB66-1F2BA5C611F4}"/>
    <hyperlink ref="T159" r:id="rId198" xr:uid="{6C10B4FF-109E-4DAF-92FF-4C66734AE845}"/>
    <hyperlink ref="B160" r:id="rId199" location="/@cbus/sname:prod/journey-optimizer/journey/report/#/workspace/template/ajo-journey/745dc927-64df-462b-8819-760afc248605" xr:uid="{0683EF8B-239E-41E3-8A35-C994748730BC}"/>
    <hyperlink ref="T160" r:id="rId200" xr:uid="{751339D3-39F3-44F0-B872-B63CDF6162DC}"/>
    <hyperlink ref="B161" r:id="rId201" location="/@cbus/sname:prod/journey-optimizer/journey/report/#/workspace/template/ajo-journey/d7209149-fde7-4ac2-84e6-07fd80500573" xr:uid="{D8EC87E6-0790-447F-8501-E5E3476D8DA4}"/>
    <hyperlink ref="B162" r:id="rId202" location="/@cbus/sname:prod/journey-optimizer/journey/report/#/workspace/template/ajo-journey/d7209149-fde7-4ac2-84e6-07fd80500573" xr:uid="{26CC237B-3DB5-4E74-ABFD-7C5EF5416C72}"/>
    <hyperlink ref="B163" r:id="rId203" location="/@cbus/sname:prod/journey-optimizer/journey/report/#/workspace/template/ajo-journey/8358282e-963a-4b3a-95a3-3c1846825c9c" xr:uid="{843DD43F-75E6-4C90-B75D-6D9E2712A512}"/>
    <hyperlink ref="B164" r:id="rId204" location="/@cbus/sname:prod/journey-optimizer/journey/report/#/workspace/template/ajo-journey/8358282e-963a-4b3a-95a3-3c1846825c9c" xr:uid="{ABCB3A4C-C0CF-469B-9740-DC8A0BA8B46F}"/>
    <hyperlink ref="B165" r:id="rId205" location="/@cbus/sname:prod/journey-optimizer/journey/report/#/workspace/template/ajo-journey/a7179232-e11e-42a4-af3e-d7e193714354" xr:uid="{CEF2DE44-AF16-41D3-994D-FA4B6F425F35}"/>
    <hyperlink ref="B166" r:id="rId206" location="/@cbus/sname:prod/journey-optimizer/journey/report/#/workspace/template/ajo-journey/a7179232-e11e-42a4-af3e-d7e193714354" xr:uid="{C1D91285-D291-4940-BBE9-F3C03592896B}"/>
    <hyperlink ref="B167" r:id="rId207" location="/@cbus/sname:prod/journey-optimizer/journey/report/#/workspace/template/ajo-journey/cbafab5a-039f-4e19-b165-5c9aea855168" xr:uid="{8DC5D35A-60C6-4D49-9E3D-AD1EA3E669EA}"/>
    <hyperlink ref="B168" r:id="rId208" location="/@cbus/sname:prod/journey-optimizer/journey/report/#/workspace/template/ajo-journey/cbafab5a-039f-4e19-b165-5c9aea855168" xr:uid="{920AB700-EC4F-4743-90AD-865CD8AD6686}"/>
    <hyperlink ref="B169" r:id="rId209" location="/@cbus/sname:prod/journey-optimizer/journey/report/#/workspace/template/ajo-journey/cbafab5a-039f-4e19-b165-5c9aea855168" xr:uid="{1ABD8862-7CD5-4AD5-881A-D441AE14FAAF}"/>
    <hyperlink ref="B170" r:id="rId210" location="/@cbus/sname:prod/journey-optimizer/journey/report/#/workspace/template/ajo-journey/cbafab5a-039f-4e19-b165-5c9aea855168" xr:uid="{ECE460AD-37BF-49A8-AB71-374E2BEE676D}"/>
    <hyperlink ref="B171" r:id="rId211" location="/@cbus/sname:prod/journey-optimizer/journey/report/#/workspace/template/ajo-journey/ae73d654-f7fb-4218-a985-79965ed53f32" xr:uid="{91536415-5D3F-4524-BED1-919253B2C2C6}"/>
    <hyperlink ref="B172" r:id="rId212" location="/@cbus/sname:prod/journey-optimizer/journey/report/#/workspace/template/ajo-journey/ae73d654-f7fb-4218-a985-79965ed53f32" xr:uid="{AAEC546E-2E20-4618-B7A3-8DB33ACA3051}"/>
    <hyperlink ref="B173" r:id="rId213" location="/@cbus/sname:prod/journey-optimizer/journey/report/#/workspace/template/ajo-journey/785d6f2f-8292-422a-9833-2d2802ca7fa1" xr:uid="{3756AC7B-6256-4C0E-9FF3-E2949F062228}"/>
    <hyperlink ref="B176" r:id="rId214" location="/@cbus/sname:prod/journey-optimizer/journey/report/#/workspace/template/ajo-journey/e518a319-9c52-4d1e-8c54-5a5bac7e98c1" xr:uid="{203146CD-7AE8-436F-8E52-1A6A829BB00F}"/>
    <hyperlink ref="B177" r:id="rId215" location="/@cbus/sname:prod/journey-optimizer/journey/report/#/workspace/template/ajo-journey/1428586f-9ad2-4562-8874-284efe3c0c8d" xr:uid="{D942F249-5AA2-4B5F-97B6-81DF3A77ADC3}"/>
    <hyperlink ref="B178" r:id="rId216" location="/@cbus/sname:prod/journey-optimizer/journey/report/#/workspace/template/ajo-journey/35d680d6-e62b-40a2-98e9-8980addab421" xr:uid="{7D1E4629-1B05-4724-90E1-2CE6EFAC6A6A}"/>
    <hyperlink ref="B179" r:id="rId217" location="/@cbus/sname:prod/journey-optimizer/journey/report/#/workspace/template/ajo-journey/35d680d6-e62b-40a2-98e9-8980addab421" xr:uid="{4A6F317D-C544-40BB-ADFD-A72CCAB83D0A}"/>
    <hyperlink ref="B180" r:id="rId218" location="/@cbus/sname:prod/journey-optimizer/journey/report/#/workspace/template/ajo-journey/3cbde0fd-ec21-4c5d-bbac-0292e906b9e5" xr:uid="{B87CC99F-5FB4-4661-B94B-26EF37582384}"/>
    <hyperlink ref="B181" r:id="rId219" location="/@cbus/sname:prod/journey-optimizer/journey/report/#/workspace/template/ajo-journey/3cbde0fd-ec21-4c5d-bbac-0292e906b9e5" xr:uid="{A47FA272-E2FE-4770-BFDE-21E019C23F49}"/>
    <hyperlink ref="B182" r:id="rId220" location="/@cbus/sname:prod/journey-optimizer/journey/report/#/workspace/template/ajo-journey/3cbde0fd-ec21-4c5d-bbac-0292e906b9e5" xr:uid="{E49A2C7D-2C48-4123-A0D6-42D9B915D366}"/>
    <hyperlink ref="B183" r:id="rId221" location="/@cbus/sname:prod/journey-optimizer/journey/report/#/workspace/template/ajo-journey/3cbde0fd-ec21-4c5d-bbac-0292e906b9e5" xr:uid="{0BD81A10-7A89-43ED-9286-544F18D8ED1C}"/>
    <hyperlink ref="B184" r:id="rId222" location="/@cbus/sname:prod/journey-optimizer/journey/report/#/workspace/template/ajo-journey/23e4f381-4c2b-457e-b600-83d098bf6354" xr:uid="{A30A39E4-78EB-4854-9D8E-FB578F39173C}"/>
    <hyperlink ref="B185" r:id="rId223" location="/@cbus/sname:prod/journey-optimizer/journey/report/#/workspace/template/ajo-journey/23e4f381-4c2b-457e-b600-83d098bf6354" xr:uid="{C7891A59-919E-4CFF-93E7-51DA24694D4A}"/>
    <hyperlink ref="B186" r:id="rId224" location="/@cbus/sname:prod/journey-optimizer/journey/report/#/workspace/template/ajo-journey/9efc2441-6827-4717-9013-680afb8db7de" xr:uid="{4A93C2C4-F0C6-4DD8-89D5-9E4AAB189371}"/>
    <hyperlink ref="T186" r:id="rId225" xr:uid="{D7F709D9-05E7-4741-ACA2-32FD49A66D73}"/>
    <hyperlink ref="B187" r:id="rId226" location="/@cbus/sname:prod/journey-optimizer/journey/report/#/workspace/template/ajo-journey/9efc2441-6827-4717-9013-680afb8db7de" xr:uid="{E2A9C878-5A23-4552-B380-6794B09879A1}"/>
    <hyperlink ref="T187" r:id="rId227" xr:uid="{472E8EC3-5A85-42E5-A051-6CE8B67794FE}"/>
    <hyperlink ref="B188" r:id="rId228" location="/@cbus/sname:prod/journey-optimizer/journey/report/#/workspace/template/ajo-journey/745dc927-64df-462b-8819-760afc248605" xr:uid="{E54D02DD-7A05-4050-A715-BDE96773831C}"/>
    <hyperlink ref="T188" r:id="rId229" xr:uid="{3300F0FB-4E47-40B3-9C45-775969B3A019}"/>
    <hyperlink ref="B189" r:id="rId230" location="/@cbus/sname:prod/journey-optimizer/journey/report/#/workspace/template/ajo-journey/745dc927-64df-462b-8819-760afc248605" xr:uid="{341D0673-AAB9-43DE-80FD-FCF912C9E601}"/>
    <hyperlink ref="T189" r:id="rId231" xr:uid="{8E4A68F6-3FBC-4A8C-B535-57377D90C89C}"/>
    <hyperlink ref="B190" r:id="rId232" location="/@cbus/sname:prod/journey-optimizer/journey/report/#/workspace/template/ajo-journey/b3c83ca1-5def-411e-8a8a-b1fa4230bca9" xr:uid="{40DF5868-A324-4210-95CA-9FBBE5531A36}"/>
    <hyperlink ref="B191" r:id="rId233" location="/@cbus/sname:prod/journey-optimizer/journey/report/#/workspace/template/ajo-journey/b3c83ca1-5def-411e-8a8a-b1fa4230bca9" xr:uid="{ADF92F3F-68DA-4EFD-9E03-F3A36BF5BE2C}"/>
    <hyperlink ref="B193" r:id="rId234" location="/@cbus/sname:prod/journey-optimizer/journey/report/#/workspace/template/ajo-journey/11c7ab80-6498-486d-8799-60566311d059" xr:uid="{805E8CAB-4E91-4023-9537-CBC07DFF2F65}"/>
    <hyperlink ref="B194" r:id="rId235" location="/@cbus/sname:prod/journey-optimizer/journey/report/#/workspace/template/ajo-journey/11c7ab80-6498-486d-8799-60566311d059" xr:uid="{2B08294B-0F19-4FFA-816F-8A5C84C7E14B}"/>
    <hyperlink ref="B197" r:id="rId236" location="/@cbus/sname:prod/journey-optimizer/journey/report/#/workspace/template/ajo-journey/b02f06c5-9124-4f58-a106-99330e115490" xr:uid="{CB57F5FC-CB2A-4854-937A-08FB6052ED5F}"/>
    <hyperlink ref="B198" r:id="rId237" location="/@cbus/sname:prod/journey-optimizer/journey/report/#/workspace/template/ajo-journey/b02f06c5-9124-4f58-a106-99330e115490" xr:uid="{F55F0535-9A34-49C5-A9A7-E4ED51A03E6F}"/>
    <hyperlink ref="B199" r:id="rId238" location="/@cbus/sname:prod/journey-optimizer/journey/report/#/workspace/template/ajo-journey/b02f06c5-9124-4f58-a106-99330e115490" xr:uid="{4AC7E69F-1E14-46FB-A8B5-955A79B7242C}"/>
    <hyperlink ref="B200" r:id="rId239" location="/@cbus/sname:prod/journey-optimizer/journey/report/#/workspace/template/ajo-journey/e72ad46a-3745-40ba-a629-d9f53273a656" xr:uid="{8B2D7D8A-5A60-44A3-AC97-92FF14BF6AC2}"/>
    <hyperlink ref="B201" r:id="rId240" location="/@cbus/sname:prod/journey-optimizer/journey/report/#/workspace/template/ajo-journey/e72ad46a-3745-40ba-a629-d9f53273a656" xr:uid="{4F7D90CE-8B85-4DF8-A6C4-0418D2D90BAC}"/>
    <hyperlink ref="B202" r:id="rId241" location="/@cbus/sname:prod/journey-optimizer/journey/report/#/workspace/template/ajo-journey/dd583dec-4a8f-4364-b58b-eeb1bca64b4d" xr:uid="{142BAA26-D662-4A1D-A70B-DDD591C63031}"/>
    <hyperlink ref="B203" r:id="rId242" location="/@cbus/sname:prod/journey-optimizer/journey/report/#/workspace/template/ajo-journey/dd583dec-4a8f-4364-b58b-eeb1bca64b4d" xr:uid="{9A31A2C9-006E-4B64-9FD0-C0DCB8AF7965}"/>
    <hyperlink ref="B204" r:id="rId243" location="/@cbus/sname:prod/journey-optimizer/journey/report/#/workspace/template/ajo-journey/1705c74b-00e3-4f10-ba53-8d31b070761f" xr:uid="{036853F3-ED08-4EC7-BAFC-1B146D2DE0E9}"/>
    <hyperlink ref="B205" r:id="rId244" location="/@cbus/sname:prod/journey-optimizer/journey/report/#/workspace/template/ajo-journey/1705c74b-00e3-4f10-ba53-8d31b070761f" xr:uid="{1A81E5CA-2160-4BD2-9AD3-D7CDF332C775}"/>
    <hyperlink ref="T206" r:id="rId245" xr:uid="{C1464B6F-2DBC-447F-A10F-79381F206221}"/>
    <hyperlink ref="T207" r:id="rId246" xr:uid="{8BC87825-78E6-4243-9E52-B90516C1F53F}"/>
    <hyperlink ref="T208" r:id="rId247" xr:uid="{2A520C44-5D09-46E1-9960-A97D24A4345F}"/>
    <hyperlink ref="T209" r:id="rId248" xr:uid="{ABFD02FE-C8F7-46A4-9A0F-7C81B7D6A918}"/>
    <hyperlink ref="T210" r:id="rId249" xr:uid="{0DD464ED-454D-4740-A3D7-34F47218486C}"/>
    <hyperlink ref="T211" r:id="rId250" xr:uid="{43F0F157-17B6-44DF-9481-F7BD11764594}"/>
    <hyperlink ref="T212" r:id="rId251" xr:uid="{7BE795AA-C0B2-4940-A2C5-F184599D3F55}"/>
    <hyperlink ref="T213" r:id="rId252" xr:uid="{0F93C1FA-9DBA-4F82-ACA8-6C384096E6FF}"/>
    <hyperlink ref="T214" r:id="rId253" xr:uid="{88392B88-14E4-4DB0-8823-FF8DE61BACA9}"/>
    <hyperlink ref="T215" r:id="rId254" xr:uid="{FFF0E009-B122-4F3D-BC97-5C791FFC9CC2}"/>
    <hyperlink ref="T216" r:id="rId255" xr:uid="{3FD72049-AADD-4522-AD47-5EA90EB9715D}"/>
    <hyperlink ref="T217" r:id="rId256" xr:uid="{FF07F075-D32C-4308-A5E9-3E09DF624B08}"/>
    <hyperlink ref="B218" r:id="rId257" location="/@cbus/sname:prod/journey-optimizer/journey/report/#/workspace/template/ajo-journey/d7209149-fde7-4ac2-84e6-07fd80500573" xr:uid="{811F9765-B815-4CC8-A0FC-B7536D08A09A}"/>
    <hyperlink ref="B219" r:id="rId258" location="/@cbus/sname:prod/journey-optimizer/journey/report/#/workspace/template/ajo-journey/d7209149-fde7-4ac2-84e6-07fd80500573" xr:uid="{53BC40D8-34C3-44A7-81A0-C368FFA026B9}"/>
    <hyperlink ref="B220" r:id="rId259" location="/@cbus/sname:prod/journey-optimizer/journey/report/#/workspace/template/ajo-journey/8358282e-963a-4b3a-95a3-3c1846825c9c" xr:uid="{D9FF0BC3-A33B-4BE0-8CBB-CA2B7409DD13}"/>
    <hyperlink ref="B221" r:id="rId260" location="/@cbus/sname:prod/journey-optimizer/journey/report/#/workspace/template/ajo-journey/8358282e-963a-4b3a-95a3-3c1846825c9c" xr:uid="{6D7ECD02-AA6E-404F-88BB-98DD8B8486F3}"/>
    <hyperlink ref="B222" r:id="rId261" location="/@cbus/sname:prod/journey-optimizer/journey/report/#/workspace/template/ajo-journey/a7179232-e11e-42a4-af3e-d7e193714354" xr:uid="{2DA3F5C9-2F4E-4318-B6E8-5F1297E19786}"/>
    <hyperlink ref="B223" r:id="rId262" location="/@cbus/sname:prod/journey-optimizer/journey/report/#/workspace/template/ajo-journey/a7179232-e11e-42a4-af3e-d7e193714354" xr:uid="{B025C559-29F5-475B-9294-E2A78B1FB360}"/>
    <hyperlink ref="B224" r:id="rId263" location="/@cbus/sname:prod/journey-optimizer/journey/report/#/workspace/template/ajo-journey/ae73d654-f7fb-4218-a985-79965ed53f32" xr:uid="{E67F39B9-1710-463C-9FC6-FA64C8EF9EDE}"/>
    <hyperlink ref="B225" r:id="rId264" location="/@cbus/sname:prod/journey-optimizer/journey/report/#/workspace/template/ajo-journey/ae73d654-f7fb-4218-a985-79965ed53f32" xr:uid="{FAB3C01C-0AAC-459E-819F-3CEDF79B64D2}"/>
    <hyperlink ref="B226" r:id="rId265" location="/@cbus/sname:prod/journey-optimizer/journey/report/#/workspace/template/ajo-journey/785d6f2f-8292-422a-9833-2d2802ca7fa1" xr:uid="{A01A611A-A33C-4C31-B969-804B1ADDCB53}"/>
    <hyperlink ref="B227" r:id="rId266" location="/@cbus/sname:prod/journey-optimizer/journey/report/#/workspace/template/ajo-journey/e1d432aa-88e8-4c3a-89bb-7cfed646e1be" xr:uid="{BB97C90E-B55A-4DD9-93F7-4880D5D33DA6}"/>
    <hyperlink ref="B228" r:id="rId267" location="/@cbus/sname:prod/journey-optimizer/journey/report/#/workspace/template/ajo-journey/e1d432aa-88e8-4c3a-89bb-7cfed646e1be" xr:uid="{BC725892-511A-40B3-8074-BB63EA4AAE13}"/>
    <hyperlink ref="B229" r:id="rId268" location="/@cbus/sname:prod/journey-optimizer/journey/report/#/workspace/template/ajo-journey/e518a319-9c52-4d1e-8c54-5a5bac7e98c1" xr:uid="{63DEC6DF-6B82-4AB4-87C7-81BA7B5DD78B}"/>
    <hyperlink ref="B230" r:id="rId269" location="/@cbus/sname:prod/journey-optimizer/journey/report/#/workspace/template/ajo-journey/1428586f-9ad2-4562-8874-284efe3c0c8d" xr:uid="{3E961960-9F72-4C81-BA2E-DF3F327DA144}"/>
    <hyperlink ref="B231" r:id="rId270" location="/@cbus/sname:prod/journey-optimizer/journey/report/#/workspace/template/ajo-journey/3cbde0fd-ec21-4c5d-bbac-0292e906b9e5" xr:uid="{BC3F1659-4436-430C-AA53-E19997A598C7}"/>
    <hyperlink ref="B232" r:id="rId271" location="/@cbus/sname:prod/journey-optimizer/journey/report/#/workspace/template/ajo-journey/3cbde0fd-ec21-4c5d-bbac-0292e906b9e5" xr:uid="{7C96040C-9C9E-47F3-A78D-2293DCF9580C}"/>
    <hyperlink ref="B233" r:id="rId272" location="/@cbus/sname:prod/journey-optimizer/journey/report/#/workspace/template/ajo-journey/3cbde0fd-ec21-4c5d-bbac-0292e906b9e5" xr:uid="{2F1B7006-A335-48D7-87F6-9E1292B3B53B}"/>
    <hyperlink ref="B234" r:id="rId273" location="/@cbus/sname:prod/journey-optimizer/journey/report/#/workspace/template/ajo-journey/3cbde0fd-ec21-4c5d-bbac-0292e906b9e5" xr:uid="{1D9EE95A-AA01-4C34-B0EC-F83D588F6D2F}"/>
    <hyperlink ref="B235" r:id="rId274" location="/@cbus/sname:prod/journey-optimizer/journey/report/#/workspace/template/ajo-journey/6b33825c-fbb5-4f47-b564-a293510bba4f" xr:uid="{CDA54FCA-58C3-4E1A-9BBB-D17933B294C1}"/>
    <hyperlink ref="B236" r:id="rId275" location="/@cbus/sname:prod/journey-optimizer/journey/report/#/workspace/template/ajo-journey/6b33825c-fbb5-4f47-b564-a293510bba4f" xr:uid="{B38CA210-A276-484C-8231-7ADB9C33EA31}"/>
    <hyperlink ref="B237" r:id="rId276" location="/@cbus/sname:prod/journey-optimizer/journey/report/#/workspace/template/ajo-journey/23e4f381-4c2b-457e-b600-83d098bf6354" xr:uid="{2C7D0A79-6EBE-4534-82E0-F32554F5A851}"/>
    <hyperlink ref="B238" r:id="rId277" location="/@cbus/sname:prod/journey-optimizer/journey/report/#/workspace/template/ajo-journey/23e4f381-4c2b-457e-b600-83d098bf6354" xr:uid="{F7FB3F9E-AE9A-4633-A685-E2D9260E5C9F}"/>
    <hyperlink ref="B239" r:id="rId278" location="/@cbus/sname:prod/journey-optimizer/journey/report/#/workspace/template/ajo-journey/854f73d8-aa00-4fe2-9c2e-45bcb54156f4" xr:uid="{D1303AFA-068C-44F2-84E3-481F962201D7}"/>
    <hyperlink ref="B240" r:id="rId279" location="/@cbus/sname:prod/journey-optimizer/journey/report/#/workspace/template/ajo-journey/854f73d8-aa00-4fe2-9c2e-45bcb54156f4" xr:uid="{790767BD-B58C-4C3B-805B-37EF9B6422A2}"/>
    <hyperlink ref="B241" r:id="rId280" location="/@cbus/sname:prod/journey-optimizer/journey/report/#/workspace/template/ajo-journey/09bbe6ac-c38b-4e06-9ae0-fa2b7779445b" xr:uid="{9B581E8F-B469-4E47-A0C7-FA62C67925A5}"/>
    <hyperlink ref="B242" r:id="rId281" location="/@cbus/sname:prod/journey-optimizer/journey/report/#/workspace/template/ajo-journey/09bbe6ac-c38b-4e06-9ae0-fa2b7779445b" xr:uid="{A81536CA-1856-45AF-A9FF-7E57CDB738AE}"/>
    <hyperlink ref="B243" r:id="rId282" location="/@cbus/sname:prod/journey-optimizer/journey/report/#/workspace/template/ajo-journey/09bbe6ac-c38b-4e06-9ae0-fa2b7779445b" xr:uid="{9453107F-9569-4D84-BBF9-84CD3F45C3F3}"/>
    <hyperlink ref="B244" r:id="rId283" location="/@cbus/sname:prod/journey-optimizer/journey/report/#/workspace/template/ajo-journey/51b42ebc-0a9a-4491-a1fa-669bce1a67e7" xr:uid="{71D3E02C-973E-4010-BD0A-FA071E5FAB4D}"/>
    <hyperlink ref="T244" r:id="rId284" xr:uid="{04E7DBEE-1496-42C6-803A-761ECD6558F5}"/>
    <hyperlink ref="B245" r:id="rId285" location="/@cbus/sname:prod/journey-optimizer/journey/report/#/workspace/template/ajo-journey/51b42ebc-0a9a-4491-a1fa-669bce1a67e7" xr:uid="{F3DFBF62-69CB-4296-B512-79EE0E3E7B4F}"/>
    <hyperlink ref="T245" r:id="rId286" xr:uid="{71F27C6E-79CD-4837-8D59-C03C70623310}"/>
    <hyperlink ref="B246" r:id="rId287" location="/@cbus/sname:prod/journey-optimizer/journey/report/#/workspace/template/ajo-journey/51b42ebc-0a9a-4491-a1fa-669bce1a67e7" xr:uid="{E2653C69-C1A3-4B26-A63E-70288BF5AC3D}"/>
    <hyperlink ref="T246" r:id="rId288" xr:uid="{BC822C3A-E50C-4289-AC90-FC2A12F65A61}"/>
    <hyperlink ref="B247" r:id="rId289" location="/@cbus/sname:prod/journey-optimizer/journey/report/#/workspace/template/ajo-journey/51b42ebc-0a9a-4491-a1fa-669bce1a67e7" xr:uid="{E440D5B2-72B3-4EE7-A5A6-A622D42B2C6A}"/>
    <hyperlink ref="T247" r:id="rId290" xr:uid="{0EA71CEE-94A8-4705-8729-B2E46C535FCA}"/>
    <hyperlink ref="B248" r:id="rId291" location="/@cbus/sname:prod/journey-optimizer/journey/report/#/workspace/template/ajo-journey/3e292887-b584-4bcf-8302-372f4e8f75d2" xr:uid="{FDA8755D-6E91-496A-9556-1326A8A9925A}"/>
    <hyperlink ref="B249" r:id="rId292" location="/@cbus/sname:prod/journey-optimizer/journey/report/#/workspace/template/ajo-journey/98bceed7-967d-4787-a4c1-29e5d4f011c6" xr:uid="{73DE9A7A-11EC-4B0B-AD90-E7864D881B0F}"/>
    <hyperlink ref="T249" r:id="rId293" xr:uid="{1A1B2046-7B4C-40BD-A363-B0183E3A08EC}"/>
    <hyperlink ref="B250" r:id="rId294" location="/@cbus/sname:prod/journey-optimizer/journey/report/#/workspace/template/ajo-journey/98bceed7-967d-4787-a4c1-29e5d4f011c6" xr:uid="{AA19EC5B-74C6-46D9-B6C2-88CEE4B12C8F}"/>
    <hyperlink ref="T250" r:id="rId295" xr:uid="{A46F3964-5DDF-41BD-A78C-63FDA1E2560D}"/>
    <hyperlink ref="B251" r:id="rId296" location="/@cbus/sname:prod/journey-optimizer/journey/report/#/workspace/template/ajo-journey/b2d213d8-d137-4f0b-bd6c-535471820e6f" xr:uid="{19B600B4-7E56-4715-AA2D-1240ACD8F6F9}"/>
    <hyperlink ref="T251" r:id="rId297" xr:uid="{4C6FF4F1-E3DE-4F15-9EE0-CED7C11BD537}"/>
    <hyperlink ref="B252" r:id="rId298" location="/@cbus/sname:prod/journey-optimizer/journey/report/#/workspace/template/ajo-journey/b2d213d8-d137-4f0b-bd6c-535471820e6f" xr:uid="{8E44A980-C728-40EA-ACB2-DB8581E87D27}"/>
    <hyperlink ref="T252" r:id="rId299" xr:uid="{B4F0C764-6E68-4A52-93CA-6EE3F606923A}"/>
    <hyperlink ref="B253" r:id="rId300" location="/@cbus/sname:prod/journey-optimizer/journey/report/#/workspace/template/ajo-journey/f4685d9b-1aa1-48e0-88a5-676af16225cf" xr:uid="{BBF19038-570A-4CFA-A624-FD5F7D220468}"/>
    <hyperlink ref="T253" r:id="rId301" xr:uid="{F24CCC69-C899-4911-8E17-B62F59A71302}"/>
    <hyperlink ref="B254" r:id="rId302" location="/@cbus/sname:prod/journey-optimizer/journey/report/#/workspace/template/ajo-journey/f4685d9b-1aa1-48e0-88a5-676af16225cf" xr:uid="{C0980C13-F9C1-42BB-8DF8-CCEF236CD880}"/>
    <hyperlink ref="T254" r:id="rId303" xr:uid="{DDC82F89-2D70-43DD-B45B-C163CF88D26A}"/>
    <hyperlink ref="B255" r:id="rId304" location="/@cbus/sname:prod/journey-optimizer/journey/report/#/workspace/template/ajo-journey/6a9f570b-c2e8-4903-8f56-8a02b73a7926" xr:uid="{5C0B8243-2B3F-4491-9FC4-4236C85A0546}"/>
    <hyperlink ref="T255" r:id="rId305" xr:uid="{2ED79BB8-96C7-443A-935E-3E8BAFDE0622}"/>
    <hyperlink ref="B256" r:id="rId306" location="/@cbus/sname:prod/journey-optimizer/journey/report/#/workspace/template/ajo-journey/6a9f570b-c2e8-4903-8f56-8a02b73a7926" xr:uid="{5F387573-06A3-4258-8D6F-E5834B00AB11}"/>
    <hyperlink ref="T256" r:id="rId307" xr:uid="{07C43C97-09FC-442C-BFDA-E3BCCBFDC82D}"/>
    <hyperlink ref="T257" r:id="rId308" xr:uid="{B884423F-91C0-4667-AE5B-FE9675873631}"/>
    <hyperlink ref="B258" r:id="rId309" location="/@cbus/sname:prod/journey-optimizer/journey/report/#/workspace/template/ajo-journey/cb50294d-186e-4efb-a08c-5bd962403459" xr:uid="{52F4A052-F420-4B09-A855-3582B219A56F}"/>
    <hyperlink ref="T258" r:id="rId310" xr:uid="{68C29E42-2175-4487-9E39-0B513CB8D4CE}"/>
    <hyperlink ref="B259" r:id="rId311" location="/@cbus/sname:prod/journey-optimizer/journey/report/#/workspace/template/ajo-journey/cb50294d-186e-4efb-a08c-5bd962403459" xr:uid="{E0FBFD42-5FA5-41AF-B525-CF63B008BB1D}"/>
    <hyperlink ref="T259" r:id="rId312" xr:uid="{EB910870-9AF6-4083-9F60-CEB5092DCD9E}"/>
    <hyperlink ref="B260" r:id="rId313" location="/@cbus/sname:prod/journey-optimizer/journey/report/#/workspace/template/ajo-journey/cb50294d-186e-4efb-a08c-5bd962403459" xr:uid="{471CE01A-78FF-49CC-A11C-0F68101B158C}"/>
    <hyperlink ref="T260" r:id="rId314" xr:uid="{79D03B76-FDD9-4FC5-825A-130F66CC2225}"/>
    <hyperlink ref="B261" r:id="rId315" location="/@cbus/sname:prod/journey-optimizer/journey/report/#/workspace/template/ajo-journey/cb50294d-186e-4efb-a08c-5bd962403459" xr:uid="{75621E0F-183A-452D-924F-DF460AB82C6C}"/>
    <hyperlink ref="T261" r:id="rId316" xr:uid="{45A60A41-D387-4945-8A5A-73423A6F1D17}"/>
    <hyperlink ref="B262" r:id="rId317" location="/@cbus/sname:prod/journey-optimizer/journey/report/#/workspace/template/ajo-journey/ae73d654-f7fb-4218-a985-79965ed53f32" xr:uid="{A2BDF63C-72DF-4E61-BD6D-4FEF20E71CD6}"/>
    <hyperlink ref="B263" r:id="rId318" location="/@cbus/sname:prod/journey-optimizer/journey/report/#/workspace/template/ajo-journey/ae73d654-f7fb-4218-a985-79965ed53f32" xr:uid="{7EB45934-9264-495A-89EA-D283DFB88310}"/>
    <hyperlink ref="B264" r:id="rId319" location="/@cbus/sname:prod/journey-optimizer/journey/report/#/workspace/template/ajo-journey/785d6f2f-8292-422a-9833-2d2802ca7fa1" xr:uid="{123D196A-CEED-43E3-B13D-C4BF21A513BC}"/>
    <hyperlink ref="B265" r:id="rId320" location="/@cbus/sname:prod/journey-optimizer/journey/report/#/workspace/template/ajo-journey/e1d432aa-88e8-4c3a-89bb-7cfed646e1be" xr:uid="{E78C48C0-EF1D-4487-AE31-5A3C78B2A976}"/>
    <hyperlink ref="T265" r:id="rId321" xr:uid="{D84F674E-3EEF-4D4B-97EF-B18504AC81C0}"/>
    <hyperlink ref="B266" r:id="rId322" location="/@cbus/sname:prod/journey-optimizer/journey/report/#/workspace/template/ajo-journey/e1d432aa-88e8-4c3a-89bb-7cfed646e1be" xr:uid="{7565AF2C-DE81-442C-88D9-A9FD282AFC25}"/>
    <hyperlink ref="B267" r:id="rId323" location="/@cbus/sname:prod/journey-optimizer/journey/report/#/workspace/template/ajo-journey/2a36e6fd-dd95-4f8b-87cb-ee5cbb8d6e73" xr:uid="{80B18F01-6D13-4657-954E-57C542C85AEE}"/>
    <hyperlink ref="B268" r:id="rId324" location="/@cbus/sname:prod/journey-optimizer/journey/report/#/workspace/template/ajo-journey/1428586f-9ad2-4562-8874-284efe3c0c8d" xr:uid="{7B7BF63D-4ABC-4A40-AFD8-4278A4BB9552}"/>
    <hyperlink ref="B269" r:id="rId325" location="/@cbus/sname:prod/journey-optimizer/journey/report/#/workspace/template/ajo-journey/6b33825c-fbb5-4f47-b564-a293510bba4f" xr:uid="{FEBA9E43-AE97-429E-A8C2-1812FF2F0A80}"/>
    <hyperlink ref="B270" r:id="rId326" location="/@cbus/sname:prod/journey-optimizer/journey/report/#/workspace/template/ajo-journey/6b33825c-fbb5-4f47-b564-a293510bba4f" xr:uid="{0EA2653C-875D-4B23-B1AB-65C33CB5A69C}"/>
    <hyperlink ref="B271" r:id="rId327" location="/@cbus/sname:prod/journey-optimizer/journey/report/#/workspace/template/ajo-journey/23e4f381-4c2b-457e-b600-83d098bf6354" xr:uid="{BE94FF4E-D741-43ED-B344-649B7DD91AD4}"/>
    <hyperlink ref="B272" r:id="rId328" location="/@cbus/sname:prod/journey-optimizer/journey/report/#/workspace/template/ajo-journey/23e4f381-4c2b-457e-b600-83d098bf6354" xr:uid="{20C3C242-BFAA-46DE-8760-4D87F281E0EA}"/>
    <hyperlink ref="B273" r:id="rId329" location="/@cbus/sname:prod/journey-optimizer/journey/report/#/workspace/template/ajo-journey/d21ac559-604d-446d-8bf4-e1c8c6ea0563" xr:uid="{256956A5-BB3E-4CDD-84AB-46361C30D98C}"/>
    <hyperlink ref="B274" r:id="rId330" location="/@cbus/sname:prod/journey-optimizer/journey/report/#/workspace/template/ajo-journey/d21ac559-604d-446d-8bf4-e1c8c6ea0563" xr:uid="{0593B990-BC81-4AA8-B499-7241ECB426C9}"/>
    <hyperlink ref="B275" r:id="rId331" location="/@cbus/sname:prod/journey-optimizer/journey/report/#/workspace/template/ajo-journey/3cbde0fd-ec21-4c5d-bbac-0292e906b9e5" xr:uid="{6A5AF2A5-4B06-4D9E-921D-86894D6A4351}"/>
    <hyperlink ref="B276" r:id="rId332" location="/@cbus/sname:prod/journey-optimizer/journey/report/#/workspace/template/ajo-journey/3cbde0fd-ec21-4c5d-bbac-0292e906b9e5" xr:uid="{447C3B74-60A3-4877-B943-A71101C1D86E}"/>
    <hyperlink ref="B277" r:id="rId333" location="/@cbus/sname:prod/journey-optimizer/journey/report/#/workspace/template/ajo-journey/3cbde0fd-ec21-4c5d-bbac-0292e906b9e5" xr:uid="{23B10733-328E-4A1F-AD30-8181FC2593CA}"/>
    <hyperlink ref="B278" r:id="rId334" location="/@cbus/sname:prod/journey-optimizer/journey/report/#/workspace/template/ajo-journey/3cbde0fd-ec21-4c5d-bbac-0292e906b9e5" xr:uid="{49B1DB4A-14B2-4355-B55F-4B59E82970B4}"/>
    <hyperlink ref="B279" r:id="rId335" location="/@cbus/sname:prod/journey-optimizer/journey/report/" xr:uid="{C57419EE-5F90-4C30-99AC-35ED677BAA80}"/>
    <hyperlink ref="T279" r:id="rId336" xr:uid="{E4BA520D-2E1E-44FA-9015-4028A250F01B}"/>
    <hyperlink ref="T280" r:id="rId337" xr:uid="{C90D8A34-FD30-4B45-A20D-56E55DFA2147}"/>
    <hyperlink ref="B281" r:id="rId338" location="/@cbus/sname:prod/journey-optimizer/journey/report/#/workspace/template/ajo-journey/cb50294d-186e-4efb-a08c-5bd962403459" xr:uid="{13F06E7C-5CF0-47EC-842C-C841F5257EAA}"/>
    <hyperlink ref="T281" r:id="rId339" xr:uid="{32BEABF4-8B85-4169-BBFF-0ADA32262444}"/>
    <hyperlink ref="B282" r:id="rId340" location="/@cbus/sname:prod/journey-optimizer/journey/report/#/workspace/template/ajo-journey/cb50294d-186e-4efb-a08c-5bd962403459" xr:uid="{15DCB832-CF70-4237-8225-6E4936CA325A}"/>
    <hyperlink ref="T282" r:id="rId341" xr:uid="{FDE8FE6E-29B8-49B5-B23F-666D9F5D5BDE}"/>
    <hyperlink ref="B283" r:id="rId342" location="/@cbus/sname:prod/journey-optimizer/journey/report/#/workspace/template/ajo-journey/cb50294d-186e-4efb-a08c-5bd962403459" xr:uid="{80439586-856E-4C55-A03E-7208D94F3045}"/>
    <hyperlink ref="T283" r:id="rId343" xr:uid="{9FBAB2AF-0F7A-4DB5-B268-D544A7D0038E}"/>
    <hyperlink ref="B284" r:id="rId344" location="/@cbus/sname:prod/journey-optimizer/journey/report/#/workspace/template/ajo-journey/cb50294d-186e-4efb-a08c-5bd962403459" xr:uid="{658B7B45-4289-4E2E-A66D-F207F78185EF}"/>
    <hyperlink ref="T284" r:id="rId345" xr:uid="{A916C79C-50C1-46EC-BFEE-0492A7973F26}"/>
    <hyperlink ref="B285" r:id="rId346" location="/@cbus/sname:prod/journey-optimizer/journey/report/#/workspace/template/ajo-journey/2059ba42-366a-447d-a037-a14422eaf654" xr:uid="{DC7DCE1C-9F8D-4000-BA04-385BC4433AD2}"/>
    <hyperlink ref="B286" r:id="rId347" location="/@cbus/sname:prod/journey-optimizer/journey/report/#/workspace/template/ajo-journey/2059ba42-366a-447d-a037-a14422eaf654" display="Downsizer - 55 yrs - (Strt 5 Jan)" xr:uid="{81E9D624-0816-4B30-B4DE-6A0FF4B4EC90}"/>
    <hyperlink ref="B287" r:id="rId348" location="/@cbus/sname:prod/journey-optimizer/journey/report/#/workspace/template/ajo-journey/785d6f2f-8292-422a-9833-2d2802ca7fa1" xr:uid="{449A55AD-9676-47AB-B939-51C39013602A}"/>
    <hyperlink ref="B288" r:id="rId349" location="/@cbus/sname:prod/journey-optimizer/journey/report/#/workspace/template/ajo-journey/e1d432aa-88e8-4c3a-89bb-7cfed646e1be" xr:uid="{EC1A5DB9-65DB-42BC-8C46-83908A2E50A6}"/>
    <hyperlink ref="T288" r:id="rId350" xr:uid="{6421A4B6-7300-4A62-8722-867256F01144}"/>
    <hyperlink ref="B289" r:id="rId351" location="/@cbus/sname:prod/journey-optimizer/journey/report/#/workspace/template/ajo-journey/e1d432aa-88e8-4c3a-89bb-7cfed646e1be" xr:uid="{425CEDF9-BB2C-4BE7-A8D8-1EDC15D85D80}"/>
    <hyperlink ref="B290" r:id="rId352" location="/@cbus/sname:prod/journey-optimizer/journey/report/#/workspace/template/ajo-journey/2a36e6fd-dd95-4f8b-87cb-ee5cbb8d6e73" xr:uid="{9823039B-DC38-4EFF-BF76-6FD54515EA65}"/>
    <hyperlink ref="B291" r:id="rId353" location="/@cbus/sname:prod/journey-optimizer/journey/report/#/workspace/template/ajo-journey/1428586f-9ad2-4562-8874-284efe3c0c8d" xr:uid="{6DEB3672-BF8D-472E-B2B7-92864FA51E8E}"/>
    <hyperlink ref="B292" r:id="rId354" location="/@cbus/sname:prod/journey-optimizer/journey/report/#/workspace/template/ajo-journey/6b33825c-fbb5-4f47-b564-a293510bba4f" xr:uid="{FF51C938-BC90-4DBB-A0BA-D753A4F75491}"/>
    <hyperlink ref="B293" r:id="rId355" location="/@cbus/sname:prod/journey-optimizer/journey/report/#/workspace/template/ajo-journey/6b33825c-fbb5-4f47-b564-a293510bba4f" xr:uid="{23E59A0E-57AA-4858-BCEE-1CD596311ADE}"/>
    <hyperlink ref="B294" r:id="rId356" location="/@cbus/sname:prod/journey-optimizer/journey/report/#/workspace/template/ajo-journey/23e4f381-4c2b-457e-b600-83d098bf6354" xr:uid="{2E4C7FB5-F1AF-4E02-A98C-7AA8A65B6908}"/>
    <hyperlink ref="B295" r:id="rId357" location="/@cbus/sname:prod/journey-optimizer/journey/report/#/workspace/template/ajo-journey/23e4f381-4c2b-457e-b600-83d098bf6354" xr:uid="{4DD0D259-62A4-4538-999D-15A1F5204C7B}"/>
    <hyperlink ref="B296" r:id="rId358" location="/@cbus/sname:prod/journey-optimizer/journey/report/#/workspace/template/ajo-journey/d21ac559-604d-446d-8bf4-e1c8c6ea0563" xr:uid="{232192ED-E3CC-4057-B88D-FCCFE5849517}"/>
    <hyperlink ref="B297" r:id="rId359" location="/@cbus/sname:prod/journey-optimizer/journey/report/#/workspace/template/ajo-journey/d21ac559-604d-446d-8bf4-e1c8c6ea0563" xr:uid="{7D8FCC79-B603-4559-845F-83C367764DBD}"/>
    <hyperlink ref="B298" r:id="rId360" location="/@cbus/sname:prod/journey-optimizer/journey/report/#/workspace/template/ajo-journey/3cbde0fd-ec21-4c5d-bbac-0292e906b9e5" xr:uid="{042F16EC-2179-4FFD-A308-822AEDD4DE9E}"/>
    <hyperlink ref="B299" r:id="rId361" location="/@cbus/sname:prod/journey-optimizer/journey/report/#/workspace/template/ajo-journey/3cbde0fd-ec21-4c5d-bbac-0292e906b9e5" xr:uid="{8888F14E-E6C8-46B5-B15A-6BA96AFAC7E6}"/>
    <hyperlink ref="B300" r:id="rId362" location="/@cbus/sname:prod/journey-optimizer/journey/report/#/workspace/template/ajo-journey/3cbde0fd-ec21-4c5d-bbac-0292e906b9e5" xr:uid="{5B7FD83E-367E-4E9D-8F10-851E33589055}"/>
    <hyperlink ref="B301" r:id="rId363" location="/@cbus/sname:prod/journey-optimizer/journey/report/#/workspace/template/ajo-journey/3cbde0fd-ec21-4c5d-bbac-0292e906b9e5" xr:uid="{1C22FDF8-B48A-46E8-B675-6F9EB9C1057D}"/>
    <hyperlink ref="B298:B301" r:id="rId364" location="/@cbus/sname:prod/journey-optimizer/journey/report/#/workspace/template/ajo-journey/0f6f8b09-f992-4d0e-bc12-20103db203b4" display="Age Pension - 68 Years" xr:uid="{DB90B8A7-464B-46CA-9434-CDAA01AB9092}"/>
    <hyperlink ref="B302" r:id="rId365" location="/@cbus/sname:prod/journey-optimizer/journey/report/#/workspace/template/ajo-journey/7a3bf3ea-a448-4503-948f-33899abf6a31" xr:uid="{9429FFA5-21BC-480B-A485-BCDBA9E42F47}"/>
    <hyperlink ref="B303" r:id="rId366" location="/@cbus/sname:prod/journey-optimizer/journey/report/#/workspace/template/ajo-journey/7a3bf3ea-a448-4503-948f-33899abf6a31" xr:uid="{1D8B8029-0F9C-406C-9A36-A6F27FBC3A2F}"/>
    <hyperlink ref="B304" r:id="rId367" location="/@cbus/sname:prod/journey-optimizer/journey/report/#/workspace/template/ajo-journey/b82120f8-0dc6-4a04-bf76-7c8170b68516" xr:uid="{25FEFB48-D006-4CFC-BB05-4F7FEEB0F213}"/>
    <hyperlink ref="B305" r:id="rId368" location="/@cbus/sname:prod/journey-optimizer/journey/report/#/workspace/template/ajo-journey/b82120f8-0dc6-4a04-bf76-7c8170b68516" xr:uid="{7DA55B0F-BB57-489E-AA93-AB79A8078F2C}"/>
    <hyperlink ref="B306" r:id="rId369" location="/@cbus/sname:prod/journey-optimizer/journey/report/#/workspace/template/ajo-journey/1f980fda-2fda-4fcd-b98b-1429f17da335" xr:uid="{36E44E4F-68BF-41ED-A999-E6A4F6F198A6}"/>
    <hyperlink ref="B307" r:id="rId370" location="/@cbus/sname:prod/journey-optimizer/journey/report/#/workspace/template/ajo-journey/1f980fda-2fda-4fcd-b98b-1429f17da335" xr:uid="{2B18EF65-4D07-4950-BCAA-7042EF13E569}"/>
    <hyperlink ref="B309" r:id="rId371" location="/@cbus/sname:prod/journey-optimizer/journey/report/#/workspace/template/ajo-journey/0d660db4-69c9-44b2-9fd3-6b952554c0e6" display="ALL BRANDS - MFA [Missing mobile]" xr:uid="{EFDFAD90-2595-4A8D-947A-39A24BBC1C9D}"/>
    <hyperlink ref="B308" r:id="rId372" location="/@cbus/sname:prod/journey-optimizer/journey/report/#/workspace/template/ajo-journey/0d660db4-69c9-44b2-9fd3-6b952554c0e6" display="ALL BRANDS - MFA [Missing mobile]" xr:uid="{9A107A56-1715-4EEB-BB63-4306AAF55E2B}"/>
    <hyperlink ref="B311" r:id="rId373" location="/@cbus/sname:prod/journey-optimizer/journey/report/#/workspace/template/ajo-journey/0d660db4-69c9-44b2-9fd3-6b952554c0e6" display="ALL BRANDS - MFA [Missing mobile]" xr:uid="{D47B5D14-35CF-490F-87F0-E5A6E2168957}"/>
    <hyperlink ref="B310" r:id="rId374" location="/@cbus/sname:prod/journey-optimizer/journey/report/#/workspace/template/ajo-journey/0d660db4-69c9-44b2-9fd3-6b952554c0e6" display="ALL BRANDS - MFA [Missing mobile]" xr:uid="{166CDB3F-1115-4B7B-956B-2DDA46643269}"/>
    <hyperlink ref="T305" r:id="rId375" xr:uid="{31E06B01-25AB-47C9-9F98-6B05B5D6ABD0}"/>
    <hyperlink ref="T304" r:id="rId376" xr:uid="{21477B34-7C52-4E23-94EC-0D27F2278759}"/>
    <hyperlink ref="T306" r:id="rId377" xr:uid="{73470E48-A61A-46C4-899C-1B2EAE96C31A}"/>
    <hyperlink ref="T307" r:id="rId378" xr:uid="{8FCA84B9-7AD5-4FBC-8995-E7B081CAA6C3}"/>
    <hyperlink ref="T303" r:id="rId379" xr:uid="{343953C3-269B-4522-AC0F-083A7014334E}"/>
    <hyperlink ref="T302" r:id="rId380" xr:uid="{6456D32B-A8FD-410A-A3FB-DAE37C7E288C}"/>
    <hyperlink ref="T301" r:id="rId381" xr:uid="{C20EC696-6081-4911-AD03-D81A0AE1252B}"/>
    <hyperlink ref="T300" r:id="rId382" xr:uid="{69600468-DE61-46F2-966D-4F9BFA238371}"/>
    <hyperlink ref="T299" r:id="rId383" xr:uid="{AD18CB44-4C2D-463C-9950-BF9D66F999C3}"/>
    <hyperlink ref="T298" r:id="rId384" xr:uid="{8A7190B4-1548-4F01-8CE3-FA59005C4E15}"/>
  </hyperlinks>
  <pageMargins left="0.7" right="0.7" top="0.75" bottom="0.75" header="0.3" footer="0.3"/>
  <legacyDrawing r:id="rId385"/>
  <tableParts count="1">
    <tablePart r:id="rId38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48E58-A19B-42BF-8E6F-1F396AE75A26}">
  <dimension ref="A1:B5"/>
  <sheetViews>
    <sheetView workbookViewId="0">
      <selection activeCell="B5" sqref="A1:B5"/>
    </sheetView>
  </sheetViews>
  <sheetFormatPr defaultRowHeight="15.95"/>
  <cols>
    <col min="1" max="1" width="22.875" style="5" customWidth="1"/>
    <col min="2" max="2" width="8.875" customWidth="1"/>
  </cols>
  <sheetData>
    <row r="1" spans="1:2" s="3" customFormat="1">
      <c r="A1" s="4" t="s">
        <v>304</v>
      </c>
      <c r="B1" s="2"/>
    </row>
    <row r="2" spans="1:2">
      <c r="A2" s="5" t="s">
        <v>305</v>
      </c>
      <c r="B2" s="1">
        <f>SUM(AVERAGE('FY-ajo-report'!L:L))</f>
        <v>64.703396201977057</v>
      </c>
    </row>
    <row r="3" spans="1:2">
      <c r="A3" s="5" t="s">
        <v>306</v>
      </c>
      <c r="B3" s="1">
        <f>SUM(AVERAGE('FY-ajo-report'!M:M))</f>
        <v>6.6640916925456208</v>
      </c>
    </row>
    <row r="4" spans="1:2">
      <c r="A4" s="5" t="s">
        <v>307</v>
      </c>
      <c r="B4" s="1">
        <f>SUM(AVERAGE('FY-ajo-report'!N:N))</f>
        <v>10.206025631837576</v>
      </c>
    </row>
    <row r="5" spans="1:2">
      <c r="A5" s="5" t="s">
        <v>308</v>
      </c>
      <c r="B5" s="1">
        <f>SUM(AVERAGE('FY-ajo-report'!K:K))</f>
        <v>0.14536642158171661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6" ma:contentTypeDescription="Create a new document." ma:contentTypeScope="" ma:versionID="edfe1b01d5e19b257b14990dd5591ff6">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ef37083b3398e2fa1ef77bb03441512d"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E0ECD7C-9783-4AF2-B19D-668092346D66}"/>
</file>

<file path=customXml/itemProps2.xml><?xml version="1.0" encoding="utf-8"?>
<ds:datastoreItem xmlns:ds="http://schemas.openxmlformats.org/officeDocument/2006/customXml" ds:itemID="{9BB0AA99-F2C0-47AC-BEFF-11024E9EC09D}"/>
</file>

<file path=customXml/itemProps3.xml><?xml version="1.0" encoding="utf-8"?>
<ds:datastoreItem xmlns:ds="http://schemas.openxmlformats.org/officeDocument/2006/customXml" ds:itemID="{A540A370-BACD-4A5D-84DF-3527209FD762}"/>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
  <cp:revision/>
  <dcterms:created xsi:type="dcterms:W3CDTF">2024-09-30T04:35:43Z</dcterms:created>
  <dcterms:modified xsi:type="dcterms:W3CDTF">2026-02-09T01:32:23Z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